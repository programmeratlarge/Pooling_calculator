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pi.box.com/wopi/files/2066344182245/WOPIServiceId_TP_BOX_2/WOPIUserId_-/"/>
    </mc:Choice>
  </mc:AlternateContent>
  <xr:revisionPtr revIDLastSave="42" documentId="8_{2CE785F1-70E9-458C-AD3E-B940DB3D650D}" xr6:coauthVersionLast="47" xr6:coauthVersionMax="47" xr10:uidLastSave="{984A78AC-BC1D-4FB0-A40F-D9A8A0E34180}"/>
  <bookViews>
    <workbookView xWindow="-17831" yWindow="-18144" windowWidth="32281" windowHeight="17530" tabRatio="669" activeTab="1" xr2:uid="{00000000-000D-0000-FFFF-FFFF00000000}"/>
  </bookViews>
  <sheets>
    <sheet name="INPUTS" sheetId="6" r:id="rId1"/>
    <sheet name="Final Pool" sheetId="10" r:id="rId2"/>
    <sheet name="Prepool 1" sheetId="11" r:id="rId3"/>
    <sheet name="Prepool 2" sheetId="15" r:id="rId4"/>
    <sheet name="library table with labels" sheetId="16" r:id="rId5"/>
    <sheet name="SubmissionForm" sheetId="18" r:id="rId6"/>
    <sheet name="UDIs" sheetId="19" r:id="rId7"/>
  </sheets>
  <definedNames>
    <definedName name="_xlnm._FilterDatabase" localSheetId="1" hidden="1">'Final Pool'!$A$5:$AO$28</definedName>
    <definedName name="_xlnm._FilterDatabase" localSheetId="0" hidden="1">INPUTS!$A$5:$Q$69</definedName>
    <definedName name="_xlnm._FilterDatabase" localSheetId="2" hidden="1">'Prepool 1'!$B$5:$AI$38</definedName>
    <definedName name="_xlnm._FilterDatabase" localSheetId="3" hidden="1">'Prepool 2'!$B$5:$AI$46</definedName>
    <definedName name="_xlnm._FilterDatabase" localSheetId="5" hidden="1">UDIs!$A$2:$D$292</definedName>
    <definedName name="_xlnm._FilterDatabase" localSheetId="6" hidden="1">UDIs!$A$2:$D$292</definedName>
    <definedName name="NEB_Ultra_II_RNA">#REF!</definedName>
    <definedName name="_xlnm.Print_Area" localSheetId="1">'Final Pool'!$T$1:$AB$36</definedName>
    <definedName name="_xlnm.Print_Area" localSheetId="0">INPUTS!#REF!</definedName>
    <definedName name="_xlnm.Print_Area" localSheetId="2">'Prepool 1'!$T$1:$AB$47</definedName>
    <definedName name="_xlnm.Print_Area" localSheetId="3">'Prepool 2'!$T$1:$AB$47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6" l="1"/>
  <c r="P6" i="6"/>
  <c r="L14" i="6"/>
  <c r="L13" i="6"/>
  <c r="L12" i="6"/>
  <c r="L11" i="6"/>
  <c r="L10" i="6"/>
  <c r="L9" i="6"/>
  <c r="L8" i="6"/>
  <c r="L7" i="6"/>
  <c r="L6" i="6"/>
  <c r="K17" i="6"/>
  <c r="L17" i="6" s="1"/>
  <c r="K16" i="6"/>
  <c r="L16" i="6" s="1"/>
  <c r="K15" i="6"/>
  <c r="L15" i="6" s="1"/>
  <c r="K14" i="6"/>
  <c r="K13" i="6"/>
  <c r="K12" i="6"/>
  <c r="K11" i="6"/>
  <c r="K10" i="6"/>
  <c r="K9" i="6"/>
  <c r="K8" i="6"/>
  <c r="K7" i="6"/>
  <c r="B8" i="18"/>
  <c r="F36" i="18"/>
  <c r="E38" i="18"/>
  <c r="F38" i="18"/>
  <c r="F39" i="18"/>
  <c r="E42" i="18"/>
  <c r="F42" i="18"/>
  <c r="E43" i="18"/>
  <c r="F43" i="18"/>
  <c r="E44" i="18"/>
  <c r="F44" i="18"/>
  <c r="E54" i="18"/>
  <c r="F54" i="18"/>
  <c r="F56" i="18"/>
  <c r="E58" i="18"/>
  <c r="F58" i="18"/>
  <c r="F59" i="18"/>
  <c r="E62" i="18"/>
  <c r="F62" i="18"/>
  <c r="E63" i="18"/>
  <c r="F63" i="18"/>
  <c r="E64" i="18"/>
  <c r="F64" i="18"/>
  <c r="H2" i="18"/>
  <c r="D6" i="18"/>
  <c r="E6" i="18" s="1"/>
  <c r="D7" i="18"/>
  <c r="E7" i="18" s="1"/>
  <c r="D8" i="18"/>
  <c r="F8" i="18" s="1"/>
  <c r="D9" i="18"/>
  <c r="E9" i="18" s="1"/>
  <c r="D10" i="18"/>
  <c r="E10" i="18" s="1"/>
  <c r="D11" i="18"/>
  <c r="E11" i="18" s="1"/>
  <c r="D12" i="18"/>
  <c r="F12" i="18" s="1"/>
  <c r="D13" i="18"/>
  <c r="F13" i="18" s="1"/>
  <c r="D14" i="18"/>
  <c r="E14" i="18" s="1"/>
  <c r="D15" i="18"/>
  <c r="E15" i="18" s="1"/>
  <c r="D16" i="18"/>
  <c r="E16" i="18" s="1"/>
  <c r="D17" i="18"/>
  <c r="E17" i="18" s="1"/>
  <c r="D18" i="18"/>
  <c r="E18" i="18" s="1"/>
  <c r="D19" i="18"/>
  <c r="E19" i="18" s="1"/>
  <c r="D20" i="18"/>
  <c r="E20" i="18" s="1"/>
  <c r="D21" i="18"/>
  <c r="E21" i="18" s="1"/>
  <c r="D22" i="18"/>
  <c r="E22" i="18" s="1"/>
  <c r="D23" i="18"/>
  <c r="E23" i="18" s="1"/>
  <c r="D24" i="18"/>
  <c r="E24" i="18" s="1"/>
  <c r="D25" i="18"/>
  <c r="E25" i="18" s="1"/>
  <c r="D26" i="18"/>
  <c r="E26" i="18" s="1"/>
  <c r="D27" i="18"/>
  <c r="E27" i="18" s="1"/>
  <c r="D28" i="18"/>
  <c r="E28" i="18" s="1"/>
  <c r="D29" i="18"/>
  <c r="E29" i="18" s="1"/>
  <c r="D30" i="18"/>
  <c r="E30" i="18" s="1"/>
  <c r="D31" i="18"/>
  <c r="E31" i="18" s="1"/>
  <c r="D32" i="18"/>
  <c r="F32" i="18" s="1"/>
  <c r="D33" i="18"/>
  <c r="E33" i="18" s="1"/>
  <c r="D34" i="18"/>
  <c r="E34" i="18" s="1"/>
  <c r="D35" i="18"/>
  <c r="E35" i="18" s="1"/>
  <c r="D36" i="18"/>
  <c r="E36" i="18" s="1"/>
  <c r="D37" i="18"/>
  <c r="E37" i="18" s="1"/>
  <c r="D38" i="18"/>
  <c r="D39" i="18"/>
  <c r="E39" i="18" s="1"/>
  <c r="D40" i="18"/>
  <c r="E40" i="18" s="1"/>
  <c r="D41" i="18"/>
  <c r="E41" i="18" s="1"/>
  <c r="D42" i="18"/>
  <c r="D43" i="18"/>
  <c r="D44" i="18"/>
  <c r="D45" i="18"/>
  <c r="E45" i="18" s="1"/>
  <c r="D46" i="18"/>
  <c r="E46" i="18" s="1"/>
  <c r="D47" i="18"/>
  <c r="E47" i="18" s="1"/>
  <c r="D48" i="18"/>
  <c r="E48" i="18" s="1"/>
  <c r="D49" i="18"/>
  <c r="E49" i="18" s="1"/>
  <c r="D50" i="18"/>
  <c r="E50" i="18" s="1"/>
  <c r="D51" i="18"/>
  <c r="E51" i="18" s="1"/>
  <c r="D52" i="18"/>
  <c r="E52" i="18" s="1"/>
  <c r="D53" i="18"/>
  <c r="F53" i="18" s="1"/>
  <c r="D54" i="18"/>
  <c r="D55" i="18"/>
  <c r="E55" i="18" s="1"/>
  <c r="D56" i="18"/>
  <c r="E56" i="18" s="1"/>
  <c r="D57" i="18"/>
  <c r="E57" i="18" s="1"/>
  <c r="D58" i="18"/>
  <c r="D59" i="18"/>
  <c r="E59" i="18" s="1"/>
  <c r="D60" i="18"/>
  <c r="E60" i="18" s="1"/>
  <c r="D61" i="18"/>
  <c r="E61" i="18" s="1"/>
  <c r="D62" i="18"/>
  <c r="D63" i="18"/>
  <c r="D64" i="18"/>
  <c r="D65" i="18"/>
  <c r="E65" i="18" s="1"/>
  <c r="D66" i="18"/>
  <c r="E66" i="18" s="1"/>
  <c r="D67" i="18"/>
  <c r="E67" i="18" s="1"/>
  <c r="D68" i="18"/>
  <c r="E68" i="18" s="1"/>
  <c r="D69" i="18"/>
  <c r="AG38" i="15"/>
  <c r="AE38" i="15"/>
  <c r="AD38" i="15"/>
  <c r="AC38" i="15"/>
  <c r="AA38" i="15"/>
  <c r="AB38" i="15" s="1"/>
  <c r="Z38" i="15"/>
  <c r="T38" i="15"/>
  <c r="C38" i="15"/>
  <c r="R38" i="15" s="1"/>
  <c r="AF38" i="15" s="1"/>
  <c r="B38" i="15"/>
  <c r="X38" i="15" s="1"/>
  <c r="A38" i="15"/>
  <c r="AG37" i="15"/>
  <c r="AE37" i="15"/>
  <c r="AD37" i="15"/>
  <c r="AC37" i="15"/>
  <c r="AA37" i="15"/>
  <c r="AB37" i="15" s="1"/>
  <c r="Z37" i="15"/>
  <c r="X37" i="15"/>
  <c r="C37" i="15"/>
  <c r="L37" i="15" s="1"/>
  <c r="B37" i="15"/>
  <c r="A37" i="15"/>
  <c r="T37" i="15" s="1"/>
  <c r="AG36" i="15"/>
  <c r="AE36" i="15"/>
  <c r="AD36" i="15"/>
  <c r="AC36" i="15"/>
  <c r="AA36" i="15"/>
  <c r="AB36" i="15" s="1"/>
  <c r="Z36" i="15"/>
  <c r="B36" i="15"/>
  <c r="C36" i="15" s="1"/>
  <c r="A36" i="15"/>
  <c r="T36" i="15" s="1"/>
  <c r="AG35" i="15"/>
  <c r="AE35" i="15"/>
  <c r="AD35" i="15"/>
  <c r="AC35" i="15"/>
  <c r="AA35" i="15"/>
  <c r="AB35" i="15" s="1"/>
  <c r="Z35" i="15"/>
  <c r="B35" i="15"/>
  <c r="X35" i="15" s="1"/>
  <c r="A35" i="15"/>
  <c r="T35" i="15" s="1"/>
  <c r="AG38" i="11"/>
  <c r="AE38" i="11"/>
  <c r="AD38" i="11"/>
  <c r="AC38" i="11"/>
  <c r="AA38" i="11"/>
  <c r="AB38" i="11" s="1"/>
  <c r="Z38" i="11"/>
  <c r="T38" i="11"/>
  <c r="C38" i="11"/>
  <c r="R38" i="11" s="1"/>
  <c r="AF38" i="11" s="1"/>
  <c r="B38" i="11"/>
  <c r="X38" i="11" s="1"/>
  <c r="A38" i="11"/>
  <c r="AG37" i="11"/>
  <c r="AE37" i="11"/>
  <c r="AD37" i="11"/>
  <c r="AC37" i="11"/>
  <c r="AA37" i="11"/>
  <c r="AB37" i="11" s="1"/>
  <c r="Z37" i="11"/>
  <c r="C37" i="11"/>
  <c r="L37" i="11" s="1"/>
  <c r="B37" i="11"/>
  <c r="X37" i="11" s="1"/>
  <c r="A37" i="11"/>
  <c r="T37" i="11" s="1"/>
  <c r="AG36" i="11"/>
  <c r="AE36" i="11"/>
  <c r="AD36" i="11"/>
  <c r="AC36" i="11"/>
  <c r="AA36" i="11"/>
  <c r="AB36" i="11" s="1"/>
  <c r="Z36" i="11"/>
  <c r="X36" i="11"/>
  <c r="C36" i="11"/>
  <c r="N36" i="11" s="1"/>
  <c r="Y36" i="11" s="1"/>
  <c r="B36" i="11"/>
  <c r="A36" i="11"/>
  <c r="T36" i="11" s="1"/>
  <c r="AG35" i="11"/>
  <c r="AE35" i="11"/>
  <c r="AD35" i="11"/>
  <c r="AC35" i="11"/>
  <c r="AA35" i="11"/>
  <c r="AB35" i="11" s="1"/>
  <c r="Z35" i="11"/>
  <c r="B35" i="11"/>
  <c r="X35" i="11" s="1"/>
  <c r="A35" i="11"/>
  <c r="T35" i="11" s="1"/>
  <c r="T2" i="15"/>
  <c r="T2" i="11"/>
  <c r="Q1" i="6"/>
  <c r="A14" i="10"/>
  <c r="T14" i="10" s="1"/>
  <c r="B14" i="10"/>
  <c r="C14" i="10" s="1"/>
  <c r="D14" i="10" s="1"/>
  <c r="A15" i="10"/>
  <c r="T15" i="10" s="1"/>
  <c r="B15" i="10"/>
  <c r="C15" i="10" s="1"/>
  <c r="G15" i="10" s="1"/>
  <c r="X15" i="10"/>
  <c r="A16" i="10"/>
  <c r="T16" i="10" s="1"/>
  <c r="B16" i="10"/>
  <c r="C16" i="10" s="1"/>
  <c r="D16" i="10" s="1"/>
  <c r="A17" i="10"/>
  <c r="T17" i="10" s="1"/>
  <c r="B17" i="10"/>
  <c r="X17" i="10" s="1"/>
  <c r="A8" i="10"/>
  <c r="T8" i="10" s="1"/>
  <c r="B8" i="10"/>
  <c r="C8" i="10" s="1"/>
  <c r="A9" i="10"/>
  <c r="T9" i="10" s="1"/>
  <c r="B9" i="10"/>
  <c r="X9" i="10" s="1"/>
  <c r="A10" i="10"/>
  <c r="T10" i="10" s="1"/>
  <c r="B10" i="10"/>
  <c r="C10" i="10" s="1"/>
  <c r="F10" i="10" s="1"/>
  <c r="A11" i="10"/>
  <c r="T11" i="10" s="1"/>
  <c r="B11" i="10"/>
  <c r="X11" i="10" s="1"/>
  <c r="A12" i="10"/>
  <c r="T12" i="10" s="1"/>
  <c r="B12" i="10"/>
  <c r="X12" i="10" s="1"/>
  <c r="A13" i="10"/>
  <c r="T13" i="10" s="1"/>
  <c r="B13" i="10"/>
  <c r="C13" i="10" s="1"/>
  <c r="M13" i="10" s="1"/>
  <c r="U13" i="10" s="1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AA42" i="15"/>
  <c r="AA42" i="11"/>
  <c r="M37" i="11" l="1"/>
  <c r="U37" i="11" s="1"/>
  <c r="D10" i="10"/>
  <c r="P36" i="11"/>
  <c r="I37" i="11"/>
  <c r="O37" i="15"/>
  <c r="C9" i="10"/>
  <c r="O9" i="10" s="1"/>
  <c r="F37" i="11"/>
  <c r="H37" i="15"/>
  <c r="G37" i="15"/>
  <c r="G37" i="11"/>
  <c r="M37" i="15"/>
  <c r="U37" i="15" s="1"/>
  <c r="H36" i="11"/>
  <c r="F16" i="18"/>
  <c r="O36" i="11"/>
  <c r="F23" i="18"/>
  <c r="E37" i="11"/>
  <c r="E37" i="15"/>
  <c r="F22" i="18"/>
  <c r="F19" i="18"/>
  <c r="F18" i="18"/>
  <c r="C17" i="10"/>
  <c r="Q17" i="10" s="1"/>
  <c r="N37" i="11"/>
  <c r="Y37" i="11" s="1"/>
  <c r="P37" i="15"/>
  <c r="E38" i="15"/>
  <c r="F34" i="18"/>
  <c r="F14" i="18"/>
  <c r="C35" i="15"/>
  <c r="K35" i="15" s="1"/>
  <c r="O37" i="11"/>
  <c r="M38" i="15"/>
  <c r="U38" i="15" s="1"/>
  <c r="Q37" i="11"/>
  <c r="G36" i="11"/>
  <c r="F24" i="18"/>
  <c r="F52" i="18"/>
  <c r="E12" i="18"/>
  <c r="F61" i="18"/>
  <c r="F51" i="18"/>
  <c r="F41" i="18"/>
  <c r="F31" i="18"/>
  <c r="F21" i="18"/>
  <c r="F11" i="18"/>
  <c r="F60" i="18"/>
  <c r="F50" i="18"/>
  <c r="F40" i="18"/>
  <c r="F30" i="18"/>
  <c r="F20" i="18"/>
  <c r="F10" i="18"/>
  <c r="E13" i="18"/>
  <c r="F49" i="18"/>
  <c r="F29" i="18"/>
  <c r="F9" i="18"/>
  <c r="F33" i="18"/>
  <c r="E32" i="18"/>
  <c r="F68" i="18"/>
  <c r="E8" i="18"/>
  <c r="F67" i="18"/>
  <c r="F57" i="18"/>
  <c r="F47" i="18"/>
  <c r="F37" i="18"/>
  <c r="F27" i="18"/>
  <c r="F17" i="18"/>
  <c r="F7" i="18"/>
  <c r="F28" i="18"/>
  <c r="F6" i="18"/>
  <c r="E53" i="18"/>
  <c r="F48" i="18"/>
  <c r="F66" i="18"/>
  <c r="F46" i="18"/>
  <c r="F26" i="18"/>
  <c r="F65" i="18"/>
  <c r="F55" i="18"/>
  <c r="F45" i="18"/>
  <c r="F35" i="18"/>
  <c r="F25" i="18"/>
  <c r="F15" i="18"/>
  <c r="N36" i="15"/>
  <c r="Y36" i="15" s="1"/>
  <c r="F36" i="15"/>
  <c r="Q36" i="15"/>
  <c r="M36" i="15"/>
  <c r="U36" i="15" s="1"/>
  <c r="E36" i="15"/>
  <c r="J36" i="15"/>
  <c r="L36" i="15"/>
  <c r="D36" i="15"/>
  <c r="R36" i="15"/>
  <c r="AF36" i="15" s="1"/>
  <c r="I36" i="15"/>
  <c r="K36" i="15"/>
  <c r="P36" i="15"/>
  <c r="H36" i="15"/>
  <c r="O36" i="15"/>
  <c r="G36" i="15"/>
  <c r="K38" i="15"/>
  <c r="J35" i="15"/>
  <c r="X36" i="15"/>
  <c r="F37" i="15"/>
  <c r="N37" i="15"/>
  <c r="Y37" i="15" s="1"/>
  <c r="D38" i="15"/>
  <c r="L38" i="15"/>
  <c r="I37" i="15"/>
  <c r="Q37" i="15"/>
  <c r="G38" i="15"/>
  <c r="O38" i="15"/>
  <c r="N38" i="15"/>
  <c r="Y38" i="15" s="1"/>
  <c r="J37" i="15"/>
  <c r="R37" i="15"/>
  <c r="AF37" i="15" s="1"/>
  <c r="H38" i="15"/>
  <c r="P38" i="15"/>
  <c r="K37" i="15"/>
  <c r="I38" i="15"/>
  <c r="Q38" i="15"/>
  <c r="F38" i="15"/>
  <c r="D37" i="15"/>
  <c r="J38" i="15"/>
  <c r="S38" i="15" s="1"/>
  <c r="K38" i="11"/>
  <c r="D38" i="11"/>
  <c r="L38" i="11"/>
  <c r="C35" i="11"/>
  <c r="I36" i="11"/>
  <c r="Q36" i="11"/>
  <c r="E38" i="11"/>
  <c r="M38" i="11"/>
  <c r="U38" i="11" s="1"/>
  <c r="J36" i="11"/>
  <c r="R36" i="11"/>
  <c r="AF36" i="11" s="1"/>
  <c r="H37" i="11"/>
  <c r="P37" i="11"/>
  <c r="F38" i="11"/>
  <c r="N38" i="11"/>
  <c r="Y38" i="11" s="1"/>
  <c r="O38" i="11"/>
  <c r="K36" i="11"/>
  <c r="G38" i="11"/>
  <c r="D36" i="11"/>
  <c r="L36" i="11"/>
  <c r="J37" i="11"/>
  <c r="R37" i="11"/>
  <c r="AF37" i="11" s="1"/>
  <c r="H38" i="11"/>
  <c r="P38" i="11"/>
  <c r="E36" i="11"/>
  <c r="M36" i="11"/>
  <c r="U36" i="11" s="1"/>
  <c r="K37" i="11"/>
  <c r="I38" i="11"/>
  <c r="Q38" i="11"/>
  <c r="F36" i="11"/>
  <c r="D37" i="11"/>
  <c r="J38" i="11"/>
  <c r="S38" i="11" s="1"/>
  <c r="C11" i="10"/>
  <c r="N11" i="10" s="1"/>
  <c r="X13" i="10"/>
  <c r="X14" i="10"/>
  <c r="N14" i="10"/>
  <c r="H10" i="10"/>
  <c r="K9" i="10"/>
  <c r="X8" i="10"/>
  <c r="L14" i="10"/>
  <c r="J9" i="10"/>
  <c r="I9" i="10"/>
  <c r="Q15" i="10"/>
  <c r="G9" i="10"/>
  <c r="C12" i="10"/>
  <c r="H12" i="10" s="1"/>
  <c r="X16" i="10"/>
  <c r="G8" i="10"/>
  <c r="O8" i="10"/>
  <c r="H8" i="10"/>
  <c r="I8" i="10"/>
  <c r="Q8" i="10"/>
  <c r="K8" i="10"/>
  <c r="E8" i="10"/>
  <c r="M8" i="10"/>
  <c r="U8" i="10" s="1"/>
  <c r="O13" i="10"/>
  <c r="N8" i="10"/>
  <c r="L16" i="10"/>
  <c r="O15" i="10"/>
  <c r="F14" i="10"/>
  <c r="E10" i="10"/>
  <c r="G10" i="10"/>
  <c r="V10" i="10" s="1"/>
  <c r="W10" i="10" s="1"/>
  <c r="J16" i="10"/>
  <c r="I15" i="10"/>
  <c r="N13" i="10"/>
  <c r="L8" i="10"/>
  <c r="J8" i="10"/>
  <c r="G14" i="10"/>
  <c r="O14" i="10"/>
  <c r="H14" i="10"/>
  <c r="I14" i="10"/>
  <c r="Q14" i="10"/>
  <c r="J14" i="10"/>
  <c r="K14" i="10"/>
  <c r="E14" i="10"/>
  <c r="M14" i="10"/>
  <c r="U14" i="10" s="1"/>
  <c r="E16" i="10"/>
  <c r="M16" i="10"/>
  <c r="U16" i="10" s="1"/>
  <c r="F16" i="10"/>
  <c r="N16" i="10"/>
  <c r="G16" i="10"/>
  <c r="O16" i="10"/>
  <c r="H16" i="10"/>
  <c r="I16" i="10"/>
  <c r="Q16" i="10"/>
  <c r="K16" i="10"/>
  <c r="J15" i="10"/>
  <c r="K15" i="10"/>
  <c r="D15" i="10"/>
  <c r="L15" i="10"/>
  <c r="E15" i="10"/>
  <c r="M15" i="10"/>
  <c r="U15" i="10" s="1"/>
  <c r="F15" i="10"/>
  <c r="V15" i="10" s="1"/>
  <c r="W15" i="10" s="1"/>
  <c r="N15" i="10"/>
  <c r="H15" i="10"/>
  <c r="Q13" i="10"/>
  <c r="F8" i="10"/>
  <c r="D8" i="10"/>
  <c r="H9" i="10"/>
  <c r="N9" i="10"/>
  <c r="F9" i="10"/>
  <c r="X10" i="10"/>
  <c r="L9" i="10"/>
  <c r="D9" i="10"/>
  <c r="D13" i="10"/>
  <c r="F13" i="10"/>
  <c r="G13" i="10"/>
  <c r="H13" i="10"/>
  <c r="I13" i="10"/>
  <c r="K13" i="10"/>
  <c r="E13" i="10"/>
  <c r="J13" i="10"/>
  <c r="L13" i="10"/>
  <c r="I10" i="10"/>
  <c r="M10" i="10"/>
  <c r="U10" i="10" s="1"/>
  <c r="N10" i="10"/>
  <c r="J10" i="10"/>
  <c r="K10" i="10"/>
  <c r="L10" i="10"/>
  <c r="O10" i="10"/>
  <c r="Q10" i="10"/>
  <c r="D5" i="18"/>
  <c r="Q35" i="15" l="1"/>
  <c r="O35" i="15"/>
  <c r="I35" i="15"/>
  <c r="G35" i="15"/>
  <c r="N35" i="15"/>
  <c r="Y35" i="15" s="1"/>
  <c r="J17" i="10"/>
  <c r="V37" i="15"/>
  <c r="W37" i="15" s="1"/>
  <c r="E17" i="10"/>
  <c r="E9" i="10"/>
  <c r="F35" i="15"/>
  <c r="V37" i="11"/>
  <c r="W37" i="11" s="1"/>
  <c r="L11" i="10"/>
  <c r="H11" i="10"/>
  <c r="D11" i="10"/>
  <c r="M9" i="10"/>
  <c r="U9" i="10" s="1"/>
  <c r="M35" i="15"/>
  <c r="U35" i="15" s="1"/>
  <c r="Q9" i="10"/>
  <c r="H35" i="15"/>
  <c r="E35" i="15"/>
  <c r="D35" i="15"/>
  <c r="L35" i="15"/>
  <c r="D17" i="10"/>
  <c r="L17" i="10"/>
  <c r="F11" i="10"/>
  <c r="G17" i="10"/>
  <c r="S36" i="15"/>
  <c r="M11" i="10"/>
  <c r="U11" i="10" s="1"/>
  <c r="I17" i="10"/>
  <c r="F17" i="10"/>
  <c r="N17" i="10"/>
  <c r="V36" i="11"/>
  <c r="W36" i="11" s="1"/>
  <c r="H17" i="10"/>
  <c r="K17" i="10"/>
  <c r="M17" i="10"/>
  <c r="U17" i="10" s="1"/>
  <c r="O11" i="10"/>
  <c r="G11" i="10"/>
  <c r="O17" i="10"/>
  <c r="K11" i="10"/>
  <c r="F5" i="18"/>
  <c r="H5" i="18" s="1"/>
  <c r="E5" i="18"/>
  <c r="H4" i="18" s="1"/>
  <c r="H3" i="18"/>
  <c r="V38" i="11"/>
  <c r="W38" i="11" s="1"/>
  <c r="V38" i="15"/>
  <c r="W38" i="15" s="1"/>
  <c r="S37" i="15"/>
  <c r="V36" i="15"/>
  <c r="W36" i="15" s="1"/>
  <c r="S37" i="11"/>
  <c r="H35" i="11"/>
  <c r="O35" i="11"/>
  <c r="G35" i="11"/>
  <c r="N35" i="11"/>
  <c r="Y35" i="11" s="1"/>
  <c r="F35" i="11"/>
  <c r="M35" i="11"/>
  <c r="U35" i="11" s="1"/>
  <c r="E35" i="11"/>
  <c r="J35" i="11"/>
  <c r="I35" i="11"/>
  <c r="L35" i="11"/>
  <c r="D35" i="11"/>
  <c r="K35" i="11"/>
  <c r="Q35" i="11"/>
  <c r="S36" i="11"/>
  <c r="V9" i="10"/>
  <c r="W9" i="10" s="1"/>
  <c r="I12" i="10"/>
  <c r="I11" i="10"/>
  <c r="E11" i="10"/>
  <c r="Q11" i="10"/>
  <c r="J11" i="10"/>
  <c r="Q12" i="10"/>
  <c r="D12" i="10"/>
  <c r="E12" i="10"/>
  <c r="M12" i="10"/>
  <c r="U12" i="10" s="1"/>
  <c r="L12" i="10"/>
  <c r="F12" i="10"/>
  <c r="V14" i="10"/>
  <c r="W14" i="10" s="1"/>
  <c r="V8" i="10"/>
  <c r="W8" i="10" s="1"/>
  <c r="J12" i="10"/>
  <c r="O12" i="10"/>
  <c r="N12" i="10"/>
  <c r="G12" i="10"/>
  <c r="K12" i="10"/>
  <c r="V16" i="10"/>
  <c r="W16" i="10" s="1"/>
  <c r="V13" i="10"/>
  <c r="W13" i="10" s="1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14" i="16"/>
  <c r="B15" i="16"/>
  <c r="B16" i="16"/>
  <c r="B17" i="16"/>
  <c r="B18" i="16"/>
  <c r="B19" i="16"/>
  <c r="B20" i="16"/>
  <c r="B21" i="16"/>
  <c r="P7" i="6"/>
  <c r="P8" i="6"/>
  <c r="P8" i="10" s="1"/>
  <c r="R8" i="10" s="1"/>
  <c r="AF8" i="10" s="1"/>
  <c r="P9" i="6"/>
  <c r="P9" i="10" s="1"/>
  <c r="R9" i="10" s="1"/>
  <c r="P10" i="6"/>
  <c r="P10" i="10" s="1"/>
  <c r="R10" i="10" s="1"/>
  <c r="P11" i="6"/>
  <c r="P11" i="10" s="1"/>
  <c r="P12" i="6"/>
  <c r="P12" i="10" s="1"/>
  <c r="P13" i="6"/>
  <c r="P13" i="10" s="1"/>
  <c r="R13" i="10" s="1"/>
  <c r="AF13" i="10" s="1"/>
  <c r="P14" i="6"/>
  <c r="P14" i="10" s="1"/>
  <c r="R14" i="10" s="1"/>
  <c r="AG14" i="10" s="1"/>
  <c r="P15" i="6"/>
  <c r="P15" i="10" s="1"/>
  <c r="R15" i="10" s="1"/>
  <c r="AF15" i="10" s="1"/>
  <c r="P16" i="6"/>
  <c r="P16" i="10" s="1"/>
  <c r="R16" i="10" s="1"/>
  <c r="P17" i="6"/>
  <c r="P17" i="10" s="1"/>
  <c r="P18" i="6"/>
  <c r="P19" i="6"/>
  <c r="P20" i="6"/>
  <c r="P21" i="6"/>
  <c r="V35" i="15" l="1"/>
  <c r="W35" i="15" s="1"/>
  <c r="R17" i="10"/>
  <c r="AG17" i="10" s="1"/>
  <c r="V17" i="10"/>
  <c r="W17" i="10" s="1"/>
  <c r="V11" i="10"/>
  <c r="W11" i="10" s="1"/>
  <c r="R12" i="10"/>
  <c r="AF12" i="10" s="1"/>
  <c r="AH12" i="10" s="1"/>
  <c r="R11" i="10"/>
  <c r="S11" i="10" s="1"/>
  <c r="AG15" i="10"/>
  <c r="AH15" i="10"/>
  <c r="S15" i="10"/>
  <c r="AH8" i="10"/>
  <c r="S13" i="10"/>
  <c r="AG9" i="10"/>
  <c r="AF9" i="10"/>
  <c r="AH9" i="10" s="1"/>
  <c r="S8" i="10"/>
  <c r="S10" i="10"/>
  <c r="AF14" i="10"/>
  <c r="AH14" i="10" s="1"/>
  <c r="AG16" i="10"/>
  <c r="AF16" i="10"/>
  <c r="AH16" i="10" s="1"/>
  <c r="AH13" i="10"/>
  <c r="AG8" i="10"/>
  <c r="S9" i="10"/>
  <c r="AG10" i="10"/>
  <c r="AF10" i="10"/>
  <c r="AH10" i="10" s="1"/>
  <c r="S14" i="10"/>
  <c r="AG13" i="10"/>
  <c r="S16" i="10"/>
  <c r="V35" i="11"/>
  <c r="W35" i="11" s="1"/>
  <c r="V12" i="10"/>
  <c r="W12" i="10" s="1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S17" i="10" l="1"/>
  <c r="AF17" i="10"/>
  <c r="AH17" i="10" s="1"/>
  <c r="S12" i="10"/>
  <c r="AF11" i="10"/>
  <c r="AH11" i="10" s="1"/>
  <c r="AG12" i="10"/>
  <c r="AG11" i="10"/>
  <c r="P35" i="11"/>
  <c r="R35" i="11" s="1"/>
  <c r="P35" i="15"/>
  <c r="R35" i="15" s="1"/>
  <c r="A31" i="11"/>
  <c r="T31" i="11" s="1"/>
  <c r="B31" i="11"/>
  <c r="C31" i="11" s="1"/>
  <c r="Z31" i="11"/>
  <c r="AA31" i="11"/>
  <c r="AB31" i="11" s="1"/>
  <c r="AC31" i="11"/>
  <c r="AD31" i="11"/>
  <c r="AE31" i="11"/>
  <c r="AG31" i="11"/>
  <c r="A32" i="11"/>
  <c r="T32" i="11" s="1"/>
  <c r="B32" i="11"/>
  <c r="C32" i="11" s="1"/>
  <c r="Z32" i="11"/>
  <c r="AA32" i="11"/>
  <c r="AB32" i="11" s="1"/>
  <c r="AC32" i="11"/>
  <c r="AD32" i="11"/>
  <c r="AE32" i="11"/>
  <c r="AG32" i="11"/>
  <c r="A33" i="11"/>
  <c r="T33" i="11" s="1"/>
  <c r="B33" i="11"/>
  <c r="C33" i="11" s="1"/>
  <c r="Z33" i="11"/>
  <c r="AA33" i="11"/>
  <c r="AB33" i="11" s="1"/>
  <c r="AC33" i="11"/>
  <c r="AD33" i="11"/>
  <c r="AE33" i="11"/>
  <c r="AG33" i="11"/>
  <c r="A34" i="11"/>
  <c r="T34" i="11" s="1"/>
  <c r="B34" i="11"/>
  <c r="X34" i="11" s="1"/>
  <c r="AF35" i="11" l="1"/>
  <c r="S35" i="11"/>
  <c r="AF35" i="15"/>
  <c r="S35" i="15"/>
  <c r="X31" i="11"/>
  <c r="F33" i="11"/>
  <c r="O33" i="11"/>
  <c r="D33" i="11"/>
  <c r="E33" i="11"/>
  <c r="G33" i="11"/>
  <c r="L33" i="11"/>
  <c r="M33" i="11"/>
  <c r="U33" i="11" s="1"/>
  <c r="H32" i="11"/>
  <c r="Q32" i="11"/>
  <c r="F32" i="11"/>
  <c r="G32" i="11"/>
  <c r="I32" i="11"/>
  <c r="K32" i="11"/>
  <c r="O32" i="11"/>
  <c r="N32" i="11"/>
  <c r="Y32" i="11" s="1"/>
  <c r="J31" i="11"/>
  <c r="H31" i="11"/>
  <c r="I31" i="11"/>
  <c r="K31" i="11"/>
  <c r="P31" i="11"/>
  <c r="Q31" i="11"/>
  <c r="C34" i="11"/>
  <c r="D34" i="11" s="1"/>
  <c r="X33" i="11"/>
  <c r="X32" i="11"/>
  <c r="M32" i="11"/>
  <c r="U32" i="11" s="1"/>
  <c r="E32" i="11"/>
  <c r="O31" i="11"/>
  <c r="G31" i="11"/>
  <c r="K33" i="11"/>
  <c r="J33" i="11"/>
  <c r="L32" i="11"/>
  <c r="D32" i="11"/>
  <c r="N31" i="11"/>
  <c r="Y31" i="11" s="1"/>
  <c r="F31" i="11"/>
  <c r="Q33" i="11"/>
  <c r="I33" i="11"/>
  <c r="M31" i="11"/>
  <c r="U31" i="11" s="1"/>
  <c r="E31" i="11"/>
  <c r="P33" i="11"/>
  <c r="H33" i="11"/>
  <c r="J32" i="11"/>
  <c r="L31" i="11"/>
  <c r="D31" i="11"/>
  <c r="N33" i="11"/>
  <c r="Y33" i="11" s="1"/>
  <c r="P32" i="11"/>
  <c r="R31" i="11" l="1"/>
  <c r="AF31" i="11" s="1"/>
  <c r="N34" i="11"/>
  <c r="Y34" i="11" s="1"/>
  <c r="L34" i="11"/>
  <c r="J34" i="11"/>
  <c r="H34" i="11"/>
  <c r="G34" i="11"/>
  <c r="P34" i="11"/>
  <c r="I34" i="11"/>
  <c r="E34" i="11"/>
  <c r="O34" i="11"/>
  <c r="Q34" i="11"/>
  <c r="AG34" i="11" s="1"/>
  <c r="K34" i="11"/>
  <c r="M34" i="11"/>
  <c r="U34" i="11" s="1"/>
  <c r="F34" i="11"/>
  <c r="V32" i="11"/>
  <c r="W32" i="11" s="1"/>
  <c r="V33" i="11"/>
  <c r="W33" i="11" s="1"/>
  <c r="R32" i="11"/>
  <c r="AF32" i="11" s="1"/>
  <c r="R33" i="11"/>
  <c r="AF33" i="11" s="1"/>
  <c r="V31" i="11"/>
  <c r="W31" i="11" s="1"/>
  <c r="R34" i="11" l="1"/>
  <c r="AF34" i="11" s="1"/>
  <c r="Z34" i="11" s="1"/>
  <c r="AA34" i="11" s="1"/>
  <c r="S31" i="11"/>
  <c r="V34" i="11"/>
  <c r="W34" i="11" s="1"/>
  <c r="S32" i="11"/>
  <c r="S33" i="11"/>
  <c r="S34" i="11" l="1"/>
  <c r="AD34" i="11"/>
  <c r="AC34" i="11"/>
  <c r="AE34" i="11"/>
  <c r="A10" i="11" l="1"/>
  <c r="T10" i="11" s="1"/>
  <c r="B10" i="11"/>
  <c r="C10" i="11" s="1"/>
  <c r="H10" i="11" s="1"/>
  <c r="A11" i="11"/>
  <c r="T11" i="11" s="1"/>
  <c r="B11" i="11"/>
  <c r="C11" i="11" s="1"/>
  <c r="A12" i="11"/>
  <c r="T12" i="11" s="1"/>
  <c r="B12" i="11"/>
  <c r="C12" i="11" s="1"/>
  <c r="F12" i="11" s="1"/>
  <c r="A13" i="11"/>
  <c r="T13" i="11" s="1"/>
  <c r="B13" i="11"/>
  <c r="C13" i="11" s="1"/>
  <c r="A14" i="11"/>
  <c r="T14" i="11" s="1"/>
  <c r="B14" i="11"/>
  <c r="X14" i="11" s="1"/>
  <c r="A15" i="11"/>
  <c r="T15" i="11" s="1"/>
  <c r="B15" i="11"/>
  <c r="X15" i="11" s="1"/>
  <c r="A16" i="11"/>
  <c r="T16" i="11" s="1"/>
  <c r="B16" i="11"/>
  <c r="A17" i="11"/>
  <c r="T17" i="11" s="1"/>
  <c r="B17" i="11"/>
  <c r="C17" i="11" s="1"/>
  <c r="I17" i="11" s="1"/>
  <c r="A18" i="11"/>
  <c r="T18" i="11" s="1"/>
  <c r="B18" i="11"/>
  <c r="C18" i="11" s="1"/>
  <c r="A19" i="11"/>
  <c r="T19" i="11" s="1"/>
  <c r="B19" i="11"/>
  <c r="C19" i="11" s="1"/>
  <c r="A20" i="11"/>
  <c r="T20" i="11" s="1"/>
  <c r="B20" i="11"/>
  <c r="C20" i="11" s="1"/>
  <c r="F20" i="11" s="1"/>
  <c r="A21" i="11"/>
  <c r="T21" i="11" s="1"/>
  <c r="B21" i="11"/>
  <c r="X21" i="11" s="1"/>
  <c r="A22" i="11"/>
  <c r="T22" i="11" s="1"/>
  <c r="B22" i="11"/>
  <c r="X22" i="11" s="1"/>
  <c r="A23" i="11"/>
  <c r="T23" i="11" s="1"/>
  <c r="B23" i="11"/>
  <c r="X23" i="11" s="1"/>
  <c r="A24" i="11"/>
  <c r="T24" i="11" s="1"/>
  <c r="B24" i="11"/>
  <c r="A25" i="11"/>
  <c r="T25" i="11" s="1"/>
  <c r="B25" i="11"/>
  <c r="C25" i="11" s="1"/>
  <c r="J25" i="11" s="1"/>
  <c r="A26" i="11"/>
  <c r="T26" i="11" s="1"/>
  <c r="B26" i="11"/>
  <c r="C26" i="11" s="1"/>
  <c r="H26" i="11" s="1"/>
  <c r="A27" i="11"/>
  <c r="T27" i="11" s="1"/>
  <c r="B27" i="11"/>
  <c r="X27" i="11" s="1"/>
  <c r="A28" i="11"/>
  <c r="T28" i="11" s="1"/>
  <c r="B28" i="11"/>
  <c r="C28" i="11" s="1"/>
  <c r="F28" i="11" s="1"/>
  <c r="A29" i="11"/>
  <c r="T29" i="11" s="1"/>
  <c r="B29" i="11"/>
  <c r="X29" i="11" s="1"/>
  <c r="A30" i="11"/>
  <c r="T30" i="11" s="1"/>
  <c r="B30" i="11"/>
  <c r="C30" i="11" s="1"/>
  <c r="I30" i="11" s="1"/>
  <c r="AD30" i="11"/>
  <c r="AE30" i="11"/>
  <c r="AG30" i="11"/>
  <c r="X13" i="11" l="1"/>
  <c r="H28" i="11"/>
  <c r="G28" i="11"/>
  <c r="V28" i="11" s="1"/>
  <c r="F30" i="11"/>
  <c r="C27" i="11"/>
  <c r="J27" i="11" s="1"/>
  <c r="E30" i="11"/>
  <c r="X11" i="11"/>
  <c r="D30" i="11"/>
  <c r="X26" i="11"/>
  <c r="I25" i="11"/>
  <c r="X30" i="11"/>
  <c r="H30" i="11"/>
  <c r="C29" i="11"/>
  <c r="L29" i="11" s="1"/>
  <c r="L28" i="11"/>
  <c r="C23" i="11"/>
  <c r="K23" i="11" s="1"/>
  <c r="X20" i="11"/>
  <c r="C15" i="11"/>
  <c r="M15" i="11" s="1"/>
  <c r="U15" i="11" s="1"/>
  <c r="Q30" i="11"/>
  <c r="I26" i="11"/>
  <c r="X28" i="11"/>
  <c r="O28" i="11"/>
  <c r="J19" i="11"/>
  <c r="Q25" i="11"/>
  <c r="AG25" i="11" s="1"/>
  <c r="J28" i="11"/>
  <c r="Q26" i="11"/>
  <c r="AG26" i="11" s="1"/>
  <c r="X18" i="11"/>
  <c r="N30" i="11"/>
  <c r="Y30" i="11" s="1"/>
  <c r="D28" i="11"/>
  <c r="C21" i="11"/>
  <c r="J21" i="11" s="1"/>
  <c r="X19" i="11"/>
  <c r="M30" i="11"/>
  <c r="U30" i="11" s="1"/>
  <c r="I19" i="11"/>
  <c r="L30" i="11"/>
  <c r="H19" i="11"/>
  <c r="H18" i="11"/>
  <c r="M19" i="11"/>
  <c r="U19" i="11" s="1"/>
  <c r="K19" i="11"/>
  <c r="G19" i="11"/>
  <c r="O19" i="11"/>
  <c r="J30" i="11"/>
  <c r="Q19" i="11"/>
  <c r="AG19" i="11" s="1"/>
  <c r="E19" i="11"/>
  <c r="X12" i="11"/>
  <c r="X10" i="11"/>
  <c r="N20" i="11"/>
  <c r="Y20" i="11" s="1"/>
  <c r="C16" i="11"/>
  <c r="X16" i="11"/>
  <c r="F13" i="11"/>
  <c r="N13" i="11"/>
  <c r="Y13" i="11" s="1"/>
  <c r="G13" i="11"/>
  <c r="O13" i="11"/>
  <c r="H13" i="11"/>
  <c r="I13" i="11"/>
  <c r="Q13" i="11"/>
  <c r="AG13" i="11" s="1"/>
  <c r="J13" i="11"/>
  <c r="K13" i="11"/>
  <c r="D13" i="11"/>
  <c r="L13" i="11"/>
  <c r="H11" i="11"/>
  <c r="I11" i="11"/>
  <c r="Q11" i="11"/>
  <c r="AG11" i="11" s="1"/>
  <c r="J11" i="11"/>
  <c r="K11" i="11"/>
  <c r="D11" i="11"/>
  <c r="L11" i="11"/>
  <c r="E11" i="11"/>
  <c r="M11" i="11"/>
  <c r="U11" i="11" s="1"/>
  <c r="F11" i="11"/>
  <c r="N11" i="11"/>
  <c r="Y11" i="11" s="1"/>
  <c r="AA25" i="11"/>
  <c r="AB25" i="11" s="1"/>
  <c r="AC25" i="11"/>
  <c r="AD25" i="11"/>
  <c r="AE25" i="11"/>
  <c r="J17" i="11"/>
  <c r="K17" i="11"/>
  <c r="D17" i="11"/>
  <c r="L17" i="11"/>
  <c r="E17" i="11"/>
  <c r="M17" i="11"/>
  <c r="U17" i="11" s="1"/>
  <c r="F17" i="11"/>
  <c r="N17" i="11"/>
  <c r="Y17" i="11" s="1"/>
  <c r="G17" i="11"/>
  <c r="O17" i="11"/>
  <c r="H17" i="11"/>
  <c r="I18" i="11"/>
  <c r="Q18" i="11"/>
  <c r="AG18" i="11" s="1"/>
  <c r="J18" i="11"/>
  <c r="K18" i="11"/>
  <c r="D18" i="11"/>
  <c r="L18" i="11"/>
  <c r="E18" i="11"/>
  <c r="M18" i="11"/>
  <c r="U18" i="11" s="1"/>
  <c r="F18" i="11"/>
  <c r="N18" i="11"/>
  <c r="Y18" i="11" s="1"/>
  <c r="G18" i="11"/>
  <c r="O18" i="11"/>
  <c r="AC30" i="11"/>
  <c r="J26" i="11"/>
  <c r="K26" i="11"/>
  <c r="D26" i="11"/>
  <c r="L26" i="11"/>
  <c r="E26" i="11"/>
  <c r="M26" i="11"/>
  <c r="U26" i="11" s="1"/>
  <c r="F26" i="11"/>
  <c r="N26" i="11"/>
  <c r="Y26" i="11" s="1"/>
  <c r="G26" i="11"/>
  <c r="O26" i="11"/>
  <c r="C24" i="11"/>
  <c r="X24" i="11"/>
  <c r="G20" i="11"/>
  <c r="V20" i="11" s="1"/>
  <c r="O20" i="11"/>
  <c r="H20" i="11"/>
  <c r="I20" i="11"/>
  <c r="Q20" i="11"/>
  <c r="AG20" i="11" s="1"/>
  <c r="J20" i="11"/>
  <c r="K20" i="11"/>
  <c r="D20" i="11"/>
  <c r="L20" i="11"/>
  <c r="E20" i="11"/>
  <c r="M20" i="11"/>
  <c r="U20" i="11" s="1"/>
  <c r="K25" i="11"/>
  <c r="D25" i="11"/>
  <c r="L25" i="11"/>
  <c r="E25" i="11"/>
  <c r="M25" i="11"/>
  <c r="U25" i="11" s="1"/>
  <c r="F25" i="11"/>
  <c r="N25" i="11"/>
  <c r="Y25" i="11" s="1"/>
  <c r="G25" i="11"/>
  <c r="O25" i="11"/>
  <c r="H25" i="11"/>
  <c r="AA30" i="11"/>
  <c r="AB30" i="11" s="1"/>
  <c r="I28" i="11"/>
  <c r="Q28" i="11"/>
  <c r="AG28" i="11" s="1"/>
  <c r="K28" i="11"/>
  <c r="E28" i="11"/>
  <c r="M28" i="11"/>
  <c r="U28" i="11" s="1"/>
  <c r="M13" i="11"/>
  <c r="U13" i="11" s="1"/>
  <c r="N12" i="11"/>
  <c r="Y12" i="11" s="1"/>
  <c r="O11" i="11"/>
  <c r="G30" i="11"/>
  <c r="O30" i="11"/>
  <c r="K30" i="11"/>
  <c r="N28" i="11"/>
  <c r="Y28" i="11" s="1"/>
  <c r="Z25" i="11"/>
  <c r="Q17" i="11"/>
  <c r="AG17" i="11" s="1"/>
  <c r="E13" i="11"/>
  <c r="G11" i="11"/>
  <c r="I10" i="11"/>
  <c r="Q10" i="11"/>
  <c r="AG10" i="11" s="1"/>
  <c r="J10" i="11"/>
  <c r="K10" i="11"/>
  <c r="D10" i="11"/>
  <c r="L10" i="11"/>
  <c r="E10" i="11"/>
  <c r="M10" i="11"/>
  <c r="U10" i="11" s="1"/>
  <c r="F10" i="11"/>
  <c r="N10" i="11"/>
  <c r="Y10" i="11" s="1"/>
  <c r="G10" i="11"/>
  <c r="O10" i="11"/>
  <c r="G12" i="11"/>
  <c r="V12" i="11" s="1"/>
  <c r="O12" i="11"/>
  <c r="H12" i="11"/>
  <c r="I12" i="11"/>
  <c r="Q12" i="11"/>
  <c r="AG12" i="11" s="1"/>
  <c r="J12" i="11"/>
  <c r="K12" i="11"/>
  <c r="D12" i="11"/>
  <c r="L12" i="11"/>
  <c r="E12" i="11"/>
  <c r="M12" i="11"/>
  <c r="U12" i="11" s="1"/>
  <c r="X25" i="11"/>
  <c r="C22" i="11"/>
  <c r="N19" i="11"/>
  <c r="Y19" i="11" s="1"/>
  <c r="F19" i="11"/>
  <c r="X17" i="11"/>
  <c r="C14" i="11"/>
  <c r="L19" i="11"/>
  <c r="D19" i="11"/>
  <c r="E23" i="11" l="1"/>
  <c r="D15" i="11"/>
  <c r="E15" i="11"/>
  <c r="N27" i="11"/>
  <c r="Y27" i="11" s="1"/>
  <c r="V17" i="11"/>
  <c r="V13" i="11"/>
  <c r="V30" i="11"/>
  <c r="W30" i="11" s="1"/>
  <c r="V19" i="11"/>
  <c r="V18" i="11"/>
  <c r="V11" i="11"/>
  <c r="V25" i="11"/>
  <c r="V10" i="11"/>
  <c r="V26" i="11"/>
  <c r="E27" i="11"/>
  <c r="Q15" i="11"/>
  <c r="AG15" i="11" s="1"/>
  <c r="H15" i="11"/>
  <c r="I15" i="11"/>
  <c r="L15" i="11"/>
  <c r="K15" i="11"/>
  <c r="G15" i="11"/>
  <c r="N15" i="11"/>
  <c r="Y15" i="11" s="1"/>
  <c r="F15" i="11"/>
  <c r="O15" i="11"/>
  <c r="J15" i="11"/>
  <c r="H29" i="11"/>
  <c r="D21" i="11"/>
  <c r="D29" i="11"/>
  <c r="G27" i="11"/>
  <c r="Q27" i="11"/>
  <c r="AG27" i="11" s="1"/>
  <c r="H27" i="11"/>
  <c r="J23" i="11"/>
  <c r="O27" i="11"/>
  <c r="L23" i="11"/>
  <c r="I23" i="11"/>
  <c r="D27" i="11"/>
  <c r="O23" i="11"/>
  <c r="M27" i="11"/>
  <c r="U27" i="11" s="1"/>
  <c r="I27" i="11"/>
  <c r="L27" i="11"/>
  <c r="F27" i="11"/>
  <c r="F23" i="11"/>
  <c r="K27" i="11"/>
  <c r="G23" i="11"/>
  <c r="N23" i="11"/>
  <c r="Y23" i="11" s="1"/>
  <c r="M29" i="11"/>
  <c r="U29" i="11" s="1"/>
  <c r="F29" i="11"/>
  <c r="I29" i="11"/>
  <c r="N29" i="11"/>
  <c r="Y29" i="11" s="1"/>
  <c r="Q29" i="11"/>
  <c r="AG29" i="11" s="1"/>
  <c r="J29" i="11"/>
  <c r="K29" i="11"/>
  <c r="Q23" i="11"/>
  <c r="AG23" i="11" s="1"/>
  <c r="M23" i="11"/>
  <c r="U23" i="11" s="1"/>
  <c r="G29" i="11"/>
  <c r="E29" i="11"/>
  <c r="H23" i="11"/>
  <c r="D23" i="11"/>
  <c r="O29" i="11"/>
  <c r="N21" i="11"/>
  <c r="Y21" i="11" s="1"/>
  <c r="O21" i="11"/>
  <c r="H21" i="11"/>
  <c r="L21" i="11"/>
  <c r="G21" i="11"/>
  <c r="F21" i="11"/>
  <c r="E21" i="11"/>
  <c r="K21" i="11"/>
  <c r="M21" i="11"/>
  <c r="U21" i="11" s="1"/>
  <c r="I21" i="11"/>
  <c r="Q21" i="11"/>
  <c r="AG21" i="11" s="1"/>
  <c r="K16" i="11"/>
  <c r="D16" i="11"/>
  <c r="L16" i="11"/>
  <c r="E16" i="11"/>
  <c r="M16" i="11"/>
  <c r="U16" i="11" s="1"/>
  <c r="F16" i="11"/>
  <c r="N16" i="11"/>
  <c r="Y16" i="11" s="1"/>
  <c r="G16" i="11"/>
  <c r="O16" i="11"/>
  <c r="H16" i="11"/>
  <c r="I16" i="11"/>
  <c r="Q16" i="11"/>
  <c r="AG16" i="11" s="1"/>
  <c r="J16" i="11"/>
  <c r="Z20" i="11"/>
  <c r="AA20" i="11"/>
  <c r="AB20" i="11" s="1"/>
  <c r="AC20" i="11"/>
  <c r="AD20" i="11"/>
  <c r="AE20" i="11"/>
  <c r="K24" i="11"/>
  <c r="D24" i="11"/>
  <c r="L24" i="11"/>
  <c r="E24" i="11"/>
  <c r="M24" i="11"/>
  <c r="U24" i="11" s="1"/>
  <c r="F24" i="11"/>
  <c r="N24" i="11"/>
  <c r="Y24" i="11" s="1"/>
  <c r="G24" i="11"/>
  <c r="O24" i="11"/>
  <c r="H24" i="11"/>
  <c r="I24" i="11"/>
  <c r="Q24" i="11"/>
  <c r="AG24" i="11" s="1"/>
  <c r="J24" i="11"/>
  <c r="AC23" i="11"/>
  <c r="AD23" i="11"/>
  <c r="AE23" i="11"/>
  <c r="Z23" i="11"/>
  <c r="AA23" i="11"/>
  <c r="AB23" i="11" s="1"/>
  <c r="E22" i="11"/>
  <c r="M22" i="11"/>
  <c r="U22" i="11" s="1"/>
  <c r="F22" i="11"/>
  <c r="N22" i="11"/>
  <c r="Y22" i="11" s="1"/>
  <c r="G22" i="11"/>
  <c r="O22" i="11"/>
  <c r="H22" i="11"/>
  <c r="I22" i="11"/>
  <c r="Q22" i="11"/>
  <c r="AG22" i="11" s="1"/>
  <c r="J22" i="11"/>
  <c r="K22" i="11"/>
  <c r="D22" i="11"/>
  <c r="L22" i="11"/>
  <c r="E14" i="11"/>
  <c r="M14" i="11"/>
  <c r="U14" i="11" s="1"/>
  <c r="F14" i="11"/>
  <c r="N14" i="11"/>
  <c r="Y14" i="11" s="1"/>
  <c r="G14" i="11"/>
  <c r="O14" i="11"/>
  <c r="H14" i="11"/>
  <c r="I14" i="11"/>
  <c r="Q14" i="11"/>
  <c r="AG14" i="11" s="1"/>
  <c r="J14" i="11"/>
  <c r="K14" i="11"/>
  <c r="D14" i="11"/>
  <c r="L14" i="11"/>
  <c r="V29" i="11" l="1"/>
  <c r="W29" i="11" s="1"/>
  <c r="V15" i="11"/>
  <c r="V24" i="11"/>
  <c r="V21" i="11"/>
  <c r="V23" i="11"/>
  <c r="V16" i="11"/>
  <c r="V14" i="11"/>
  <c r="V22" i="11"/>
  <c r="V27" i="11"/>
  <c r="AA16" i="11"/>
  <c r="AB16" i="11" s="1"/>
  <c r="AC16" i="11"/>
  <c r="AD16" i="11"/>
  <c r="AE16" i="11"/>
  <c r="Z16" i="11"/>
  <c r="AA24" i="11"/>
  <c r="AB24" i="11" s="1"/>
  <c r="AC24" i="11"/>
  <c r="AD24" i="11"/>
  <c r="AE24" i="11"/>
  <c r="Z24" i="11"/>
  <c r="AD14" i="11"/>
  <c r="AE14" i="11"/>
  <c r="Z14" i="11"/>
  <c r="AA14" i="11"/>
  <c r="AB14" i="11" s="1"/>
  <c r="AC14" i="11"/>
  <c r="A22" i="15" l="1"/>
  <c r="T22" i="15" s="1"/>
  <c r="B22" i="15"/>
  <c r="C22" i="15" s="1"/>
  <c r="Z22" i="15"/>
  <c r="AA22" i="15"/>
  <c r="AB22" i="15" s="1"/>
  <c r="AC22" i="15"/>
  <c r="AD22" i="15"/>
  <c r="AE22" i="15"/>
  <c r="AG22" i="15"/>
  <c r="A23" i="15"/>
  <c r="T23" i="15" s="1"/>
  <c r="B23" i="15"/>
  <c r="C23" i="15" s="1"/>
  <c r="Z23" i="15"/>
  <c r="AA23" i="15"/>
  <c r="AB23" i="15" s="1"/>
  <c r="AC23" i="15"/>
  <c r="AD23" i="15"/>
  <c r="AE23" i="15"/>
  <c r="AG23" i="15"/>
  <c r="A24" i="15"/>
  <c r="T24" i="15" s="1"/>
  <c r="B24" i="15"/>
  <c r="C24" i="15" s="1"/>
  <c r="G24" i="15" s="1"/>
  <c r="A25" i="15"/>
  <c r="T25" i="15" s="1"/>
  <c r="B25" i="15"/>
  <c r="X25" i="15" s="1"/>
  <c r="Z25" i="15"/>
  <c r="AA25" i="15"/>
  <c r="AB25" i="15" s="1"/>
  <c r="AC25" i="15"/>
  <c r="AD25" i="15"/>
  <c r="AE25" i="15"/>
  <c r="AG25" i="15"/>
  <c r="A26" i="15"/>
  <c r="T26" i="15" s="1"/>
  <c r="B26" i="15"/>
  <c r="X26" i="15" s="1"/>
  <c r="Z26" i="15"/>
  <c r="AA26" i="15"/>
  <c r="AB26" i="15" s="1"/>
  <c r="AC26" i="15"/>
  <c r="AD26" i="15"/>
  <c r="AE26" i="15"/>
  <c r="AG26" i="15"/>
  <c r="A27" i="15"/>
  <c r="T27" i="15" s="1"/>
  <c r="B27" i="15"/>
  <c r="C27" i="15" s="1"/>
  <c r="Z27" i="15"/>
  <c r="AA27" i="15"/>
  <c r="AB27" i="15" s="1"/>
  <c r="AC27" i="15"/>
  <c r="AD27" i="15"/>
  <c r="AE27" i="15"/>
  <c r="AG27" i="15"/>
  <c r="A28" i="15"/>
  <c r="T28" i="15" s="1"/>
  <c r="B28" i="15"/>
  <c r="C28" i="15" s="1"/>
  <c r="Z28" i="15"/>
  <c r="AA28" i="15"/>
  <c r="AB28" i="15" s="1"/>
  <c r="AC28" i="15"/>
  <c r="AD28" i="15"/>
  <c r="AE28" i="15"/>
  <c r="AG28" i="15"/>
  <c r="A29" i="15"/>
  <c r="T29" i="15" s="1"/>
  <c r="B29" i="15"/>
  <c r="X29" i="15" s="1"/>
  <c r="Z29" i="15"/>
  <c r="AA29" i="15"/>
  <c r="AB29" i="15" s="1"/>
  <c r="AC29" i="15"/>
  <c r="AD29" i="15"/>
  <c r="AE29" i="15"/>
  <c r="AG29" i="15"/>
  <c r="A30" i="15"/>
  <c r="T30" i="15" s="1"/>
  <c r="B30" i="15"/>
  <c r="C30" i="15" s="1"/>
  <c r="H30" i="15" s="1"/>
  <c r="Z30" i="15"/>
  <c r="AA30" i="15"/>
  <c r="AB30" i="15" s="1"/>
  <c r="AC30" i="15"/>
  <c r="AD30" i="15"/>
  <c r="AE30" i="15"/>
  <c r="AG30" i="15"/>
  <c r="A31" i="15"/>
  <c r="T31" i="15" s="1"/>
  <c r="B31" i="15"/>
  <c r="C31" i="15" s="1"/>
  <c r="G31" i="15" s="1"/>
  <c r="Z31" i="15"/>
  <c r="AA31" i="15"/>
  <c r="AB31" i="15" s="1"/>
  <c r="AC31" i="15"/>
  <c r="AD31" i="15"/>
  <c r="AE31" i="15"/>
  <c r="AG31" i="15"/>
  <c r="A32" i="15"/>
  <c r="T32" i="15" s="1"/>
  <c r="B32" i="15"/>
  <c r="C32" i="15" s="1"/>
  <c r="Z32" i="15"/>
  <c r="AA32" i="15"/>
  <c r="AB32" i="15" s="1"/>
  <c r="AC32" i="15"/>
  <c r="AD32" i="15"/>
  <c r="AE32" i="15"/>
  <c r="AG32" i="15"/>
  <c r="A33" i="15"/>
  <c r="T33" i="15" s="1"/>
  <c r="B33" i="15"/>
  <c r="X33" i="15" s="1"/>
  <c r="Z33" i="15"/>
  <c r="AA33" i="15"/>
  <c r="AB33" i="15" s="1"/>
  <c r="AC33" i="15"/>
  <c r="AD33" i="15"/>
  <c r="AE33" i="15"/>
  <c r="AG33" i="15"/>
  <c r="A34" i="15"/>
  <c r="T34" i="15" s="1"/>
  <c r="B34" i="15"/>
  <c r="X34" i="15" s="1"/>
  <c r="Z34" i="15"/>
  <c r="AA34" i="15"/>
  <c r="AB34" i="15" s="1"/>
  <c r="AC34" i="15"/>
  <c r="AD34" i="15"/>
  <c r="AE34" i="15"/>
  <c r="AG34" i="15"/>
  <c r="X30" i="15" l="1"/>
  <c r="X32" i="15"/>
  <c r="X27" i="15"/>
  <c r="C25" i="15"/>
  <c r="F25" i="15" s="1"/>
  <c r="G32" i="15"/>
  <c r="K32" i="15"/>
  <c r="N32" i="15"/>
  <c r="Y32" i="15" s="1"/>
  <c r="D32" i="15"/>
  <c r="H32" i="15"/>
  <c r="F32" i="15"/>
  <c r="D27" i="15"/>
  <c r="K27" i="15"/>
  <c r="C33" i="15"/>
  <c r="F33" i="15" s="1"/>
  <c r="X24" i="15"/>
  <c r="X31" i="15"/>
  <c r="X23" i="15"/>
  <c r="C29" i="15"/>
  <c r="Q29" i="15" s="1"/>
  <c r="X22" i="15"/>
  <c r="F24" i="15"/>
  <c r="V24" i="15" s="1"/>
  <c r="D24" i="15"/>
  <c r="N24" i="15"/>
  <c r="Y24" i="15" s="1"/>
  <c r="L24" i="15"/>
  <c r="K24" i="15"/>
  <c r="L32" i="15"/>
  <c r="O31" i="15"/>
  <c r="H24" i="15"/>
  <c r="H31" i="15"/>
  <c r="I31" i="15"/>
  <c r="Q31" i="15"/>
  <c r="J31" i="15"/>
  <c r="K31" i="15"/>
  <c r="D31" i="15"/>
  <c r="L31" i="15"/>
  <c r="E31" i="15"/>
  <c r="M31" i="15"/>
  <c r="U31" i="15" s="1"/>
  <c r="F31" i="15"/>
  <c r="V31" i="15" s="1"/>
  <c r="N31" i="15"/>
  <c r="Y31" i="15" s="1"/>
  <c r="K28" i="15"/>
  <c r="D28" i="15"/>
  <c r="L28" i="15"/>
  <c r="E28" i="15"/>
  <c r="M28" i="15"/>
  <c r="U28" i="15" s="1"/>
  <c r="F28" i="15"/>
  <c r="N28" i="15"/>
  <c r="Y28" i="15" s="1"/>
  <c r="G28" i="15"/>
  <c r="O28" i="15"/>
  <c r="H28" i="15"/>
  <c r="I28" i="15"/>
  <c r="Q28" i="15"/>
  <c r="J28" i="15"/>
  <c r="I30" i="15"/>
  <c r="Q30" i="15"/>
  <c r="J30" i="15"/>
  <c r="K30" i="15"/>
  <c r="D30" i="15"/>
  <c r="L30" i="15"/>
  <c r="E30" i="15"/>
  <c r="M30" i="15"/>
  <c r="U30" i="15" s="1"/>
  <c r="F30" i="15"/>
  <c r="N30" i="15"/>
  <c r="Y30" i="15" s="1"/>
  <c r="G30" i="15"/>
  <c r="O30" i="15"/>
  <c r="H23" i="15"/>
  <c r="I23" i="15"/>
  <c r="Q23" i="15"/>
  <c r="J23" i="15"/>
  <c r="K23" i="15"/>
  <c r="D23" i="15"/>
  <c r="L23" i="15"/>
  <c r="E23" i="15"/>
  <c r="M23" i="15"/>
  <c r="U23" i="15" s="1"/>
  <c r="F23" i="15"/>
  <c r="N23" i="15"/>
  <c r="Y23" i="15" s="1"/>
  <c r="G23" i="15"/>
  <c r="O23" i="15"/>
  <c r="I22" i="15"/>
  <c r="Q22" i="15"/>
  <c r="J22" i="15"/>
  <c r="K22" i="15"/>
  <c r="D22" i="15"/>
  <c r="L22" i="15"/>
  <c r="E22" i="15"/>
  <c r="M22" i="15"/>
  <c r="U22" i="15" s="1"/>
  <c r="F22" i="15"/>
  <c r="N22" i="15"/>
  <c r="Y22" i="15" s="1"/>
  <c r="G22" i="15"/>
  <c r="O22" i="15"/>
  <c r="H22" i="15"/>
  <c r="C34" i="15"/>
  <c r="M32" i="15"/>
  <c r="U32" i="15" s="1"/>
  <c r="E32" i="15"/>
  <c r="J27" i="15"/>
  <c r="C26" i="15"/>
  <c r="M24" i="15"/>
  <c r="U24" i="15" s="1"/>
  <c r="E24" i="15"/>
  <c r="X28" i="15"/>
  <c r="Q27" i="15"/>
  <c r="I27" i="15"/>
  <c r="H27" i="15"/>
  <c r="J32" i="15"/>
  <c r="O27" i="15"/>
  <c r="G27" i="15"/>
  <c r="J24" i="15"/>
  <c r="Q32" i="15"/>
  <c r="I32" i="15"/>
  <c r="N27" i="15"/>
  <c r="Y27" i="15" s="1"/>
  <c r="F27" i="15"/>
  <c r="Q24" i="15"/>
  <c r="AG24" i="15" s="1"/>
  <c r="I24" i="15"/>
  <c r="M27" i="15"/>
  <c r="U27" i="15" s="1"/>
  <c r="E27" i="15"/>
  <c r="O32" i="15"/>
  <c r="L27" i="15"/>
  <c r="O24" i="15"/>
  <c r="C3" i="16"/>
  <c r="C4" i="16"/>
  <c r="C5" i="16"/>
  <c r="C6" i="16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2" i="16"/>
  <c r="V27" i="15" l="1"/>
  <c r="V22" i="15"/>
  <c r="V28" i="15"/>
  <c r="V30" i="15"/>
  <c r="V23" i="15"/>
  <c r="V32" i="15"/>
  <c r="G29" i="15"/>
  <c r="K33" i="15"/>
  <c r="F29" i="15"/>
  <c r="D29" i="15"/>
  <c r="L29" i="15"/>
  <c r="E29" i="15"/>
  <c r="N33" i="15"/>
  <c r="Y33" i="15" s="1"/>
  <c r="I33" i="15"/>
  <c r="K29" i="15"/>
  <c r="M29" i="15"/>
  <c r="U29" i="15" s="1"/>
  <c r="H29" i="15"/>
  <c r="O33" i="15"/>
  <c r="I25" i="15"/>
  <c r="Q33" i="15"/>
  <c r="N29" i="15"/>
  <c r="Y29" i="15" s="1"/>
  <c r="O29" i="15"/>
  <c r="G33" i="15"/>
  <c r="V33" i="15" s="1"/>
  <c r="Q25" i="15"/>
  <c r="J33" i="15"/>
  <c r="D33" i="15"/>
  <c r="H33" i="15"/>
  <c r="L33" i="15"/>
  <c r="M33" i="15"/>
  <c r="U33" i="15" s="1"/>
  <c r="G25" i="15"/>
  <c r="V25" i="15" s="1"/>
  <c r="H25" i="15"/>
  <c r="D25" i="15"/>
  <c r="O25" i="15"/>
  <c r="E25" i="15"/>
  <c r="J25" i="15"/>
  <c r="L25" i="15"/>
  <c r="N25" i="15"/>
  <c r="Y25" i="15" s="1"/>
  <c r="E33" i="15"/>
  <c r="K25" i="15"/>
  <c r="M25" i="15"/>
  <c r="U25" i="15" s="1"/>
  <c r="J29" i="15"/>
  <c r="I29" i="15"/>
  <c r="E34" i="15"/>
  <c r="M34" i="15"/>
  <c r="U34" i="15" s="1"/>
  <c r="F34" i="15"/>
  <c r="N34" i="15"/>
  <c r="Y34" i="15" s="1"/>
  <c r="G34" i="15"/>
  <c r="O34" i="15"/>
  <c r="J34" i="15"/>
  <c r="H34" i="15"/>
  <c r="I34" i="15"/>
  <c r="Q34" i="15"/>
  <c r="K34" i="15"/>
  <c r="D34" i="15"/>
  <c r="L34" i="15"/>
  <c r="E26" i="15"/>
  <c r="M26" i="15"/>
  <c r="U26" i="15" s="1"/>
  <c r="F26" i="15"/>
  <c r="N26" i="15"/>
  <c r="Y26" i="15" s="1"/>
  <c r="G26" i="15"/>
  <c r="O26" i="15"/>
  <c r="H26" i="15"/>
  <c r="I26" i="15"/>
  <c r="Q26" i="15"/>
  <c r="J26" i="15"/>
  <c r="K26" i="15"/>
  <c r="D26" i="15"/>
  <c r="L26" i="15"/>
  <c r="A8" i="11"/>
  <c r="T8" i="11" s="1"/>
  <c r="B8" i="11"/>
  <c r="C8" i="11" s="1"/>
  <c r="A9" i="11"/>
  <c r="T9" i="11" s="1"/>
  <c r="B9" i="11"/>
  <c r="X9" i="11" s="1"/>
  <c r="V29" i="15" l="1"/>
  <c r="V34" i="15"/>
  <c r="V26" i="15"/>
  <c r="C9" i="11"/>
  <c r="N9" i="11" s="1"/>
  <c r="Y9" i="11" s="1"/>
  <c r="X8" i="11"/>
  <c r="I8" i="11"/>
  <c r="Q8" i="11"/>
  <c r="J8" i="11"/>
  <c r="K8" i="11"/>
  <c r="D8" i="11"/>
  <c r="L8" i="11"/>
  <c r="E8" i="11"/>
  <c r="M8" i="11"/>
  <c r="U8" i="11" s="1"/>
  <c r="F8" i="11"/>
  <c r="N8" i="11"/>
  <c r="Y8" i="11" s="1"/>
  <c r="G8" i="11"/>
  <c r="O8" i="11"/>
  <c r="H8" i="11"/>
  <c r="P36" i="6"/>
  <c r="P31" i="15" l="1"/>
  <c r="R31" i="15" s="1"/>
  <c r="P34" i="15"/>
  <c r="R34" i="15" s="1"/>
  <c r="AF34" i="15" s="1"/>
  <c r="P33" i="15"/>
  <c r="R33" i="15" s="1"/>
  <c r="P32" i="15"/>
  <c r="R32" i="15" s="1"/>
  <c r="P30" i="11"/>
  <c r="R30" i="11" s="1"/>
  <c r="P30" i="15"/>
  <c r="R30" i="15" s="1"/>
  <c r="P29" i="11"/>
  <c r="R29" i="11" s="1"/>
  <c r="P29" i="15"/>
  <c r="R29" i="15" s="1"/>
  <c r="V8" i="11"/>
  <c r="P28" i="11"/>
  <c r="R28" i="11" s="1"/>
  <c r="P28" i="15"/>
  <c r="R28" i="15" s="1"/>
  <c r="P27" i="11"/>
  <c r="R27" i="11" s="1"/>
  <c r="P26" i="11"/>
  <c r="R26" i="11" s="1"/>
  <c r="P25" i="11"/>
  <c r="R25" i="11" s="1"/>
  <c r="P21" i="11"/>
  <c r="R21" i="11" s="1"/>
  <c r="P20" i="11"/>
  <c r="R20" i="11" s="1"/>
  <c r="P22" i="11"/>
  <c r="R22" i="11" s="1"/>
  <c r="P18" i="11"/>
  <c r="R18" i="11" s="1"/>
  <c r="P24" i="11"/>
  <c r="R24" i="11" s="1"/>
  <c r="P19" i="11"/>
  <c r="R19" i="11" s="1"/>
  <c r="P23" i="11"/>
  <c r="R23" i="11" s="1"/>
  <c r="P14" i="11"/>
  <c r="R14" i="11" s="1"/>
  <c r="P12" i="11"/>
  <c r="R12" i="11" s="1"/>
  <c r="P13" i="11"/>
  <c r="R13" i="11" s="1"/>
  <c r="P17" i="11"/>
  <c r="R17" i="11" s="1"/>
  <c r="P10" i="11"/>
  <c r="R10" i="11" s="1"/>
  <c r="P11" i="11"/>
  <c r="R11" i="11" s="1"/>
  <c r="P16" i="11"/>
  <c r="R16" i="11" s="1"/>
  <c r="P15" i="11"/>
  <c r="R15" i="11" s="1"/>
  <c r="P27" i="15"/>
  <c r="R27" i="15" s="1"/>
  <c r="P23" i="15"/>
  <c r="R23" i="15" s="1"/>
  <c r="P26" i="15"/>
  <c r="R26" i="15" s="1"/>
  <c r="AF26" i="15" s="1"/>
  <c r="P22" i="15"/>
  <c r="R22" i="15" s="1"/>
  <c r="P25" i="15"/>
  <c r="R25" i="15" s="1"/>
  <c r="P24" i="15"/>
  <c r="R24" i="15" s="1"/>
  <c r="AA24" i="15"/>
  <c r="P9" i="11"/>
  <c r="E9" i="11"/>
  <c r="M9" i="11"/>
  <c r="U9" i="11" s="1"/>
  <c r="D9" i="11"/>
  <c r="L9" i="11"/>
  <c r="F9" i="11"/>
  <c r="J9" i="11"/>
  <c r="P8" i="11"/>
  <c r="R8" i="11" s="1"/>
  <c r="H9" i="11"/>
  <c r="O9" i="11"/>
  <c r="Q9" i="11"/>
  <c r="G9" i="11"/>
  <c r="I9" i="11"/>
  <c r="K9" i="11"/>
  <c r="A7" i="10"/>
  <c r="T7" i="10" s="1"/>
  <c r="B7" i="10"/>
  <c r="C7" i="10" s="1"/>
  <c r="S34" i="15" l="1"/>
  <c r="AF30" i="15"/>
  <c r="S30" i="15"/>
  <c r="Z30" i="11"/>
  <c r="AF30" i="11"/>
  <c r="S30" i="11"/>
  <c r="AF32" i="15"/>
  <c r="S32" i="15"/>
  <c r="AF31" i="15"/>
  <c r="S31" i="15"/>
  <c r="AF29" i="15"/>
  <c r="S29" i="15"/>
  <c r="AF29" i="11"/>
  <c r="S29" i="11"/>
  <c r="AF33" i="15"/>
  <c r="S33" i="15"/>
  <c r="AD24" i="15"/>
  <c r="AB24" i="15"/>
  <c r="V9" i="11"/>
  <c r="AF28" i="15"/>
  <c r="S28" i="15"/>
  <c r="AF28" i="11"/>
  <c r="Z28" i="11" s="1"/>
  <c r="S28" i="11"/>
  <c r="S27" i="11"/>
  <c r="AF27" i="11"/>
  <c r="Z27" i="11" s="1"/>
  <c r="S26" i="11"/>
  <c r="AF26" i="11"/>
  <c r="S25" i="11"/>
  <c r="AF25" i="11"/>
  <c r="S23" i="11"/>
  <c r="AF23" i="11"/>
  <c r="AF22" i="11"/>
  <c r="Z22" i="11" s="1"/>
  <c r="S22" i="11"/>
  <c r="AF18" i="11"/>
  <c r="S18" i="11"/>
  <c r="S19" i="11"/>
  <c r="AF19" i="11"/>
  <c r="Z19" i="11" s="1"/>
  <c r="S20" i="11"/>
  <c r="AF20" i="11"/>
  <c r="S24" i="11"/>
  <c r="AF24" i="11"/>
  <c r="S21" i="11"/>
  <c r="AF21" i="11"/>
  <c r="Z21" i="11" s="1"/>
  <c r="AF15" i="11"/>
  <c r="S15" i="11"/>
  <c r="S16" i="11"/>
  <c r="AF16" i="11"/>
  <c r="AF13" i="11"/>
  <c r="Z13" i="11" s="1"/>
  <c r="S13" i="11"/>
  <c r="AF17" i="11"/>
  <c r="Z17" i="11" s="1"/>
  <c r="S17" i="11"/>
  <c r="AF12" i="11"/>
  <c r="Z12" i="11" s="1"/>
  <c r="S12" i="11"/>
  <c r="AF10" i="11"/>
  <c r="S10" i="11"/>
  <c r="AF14" i="11"/>
  <c r="S14" i="11"/>
  <c r="S11" i="11"/>
  <c r="AF11" i="11"/>
  <c r="S26" i="15"/>
  <c r="AF24" i="15"/>
  <c r="Z24" i="15" s="1"/>
  <c r="S24" i="15"/>
  <c r="AF23" i="15"/>
  <c r="S23" i="15"/>
  <c r="AF22" i="15"/>
  <c r="S22" i="15"/>
  <c r="AF27" i="15"/>
  <c r="S27" i="15"/>
  <c r="AF25" i="15"/>
  <c r="S25" i="15"/>
  <c r="AE24" i="15"/>
  <c r="AC24" i="15"/>
  <c r="AF8" i="11"/>
  <c r="R9" i="11"/>
  <c r="S8" i="11"/>
  <c r="X7" i="10"/>
  <c r="I7" i="10"/>
  <c r="Q7" i="10"/>
  <c r="J7" i="10"/>
  <c r="K7" i="10"/>
  <c r="D7" i="10"/>
  <c r="L7" i="10"/>
  <c r="E7" i="10"/>
  <c r="M7" i="10"/>
  <c r="U7" i="10" s="1"/>
  <c r="F7" i="10"/>
  <c r="N7" i="10"/>
  <c r="G7" i="10"/>
  <c r="O7" i="10"/>
  <c r="H7" i="10"/>
  <c r="P7" i="10"/>
  <c r="AA17" i="11" l="1"/>
  <c r="Z15" i="11"/>
  <c r="AA15" i="11" s="1"/>
  <c r="Z29" i="11"/>
  <c r="AA29" i="11" s="1"/>
  <c r="AA28" i="11"/>
  <c r="AA27" i="11"/>
  <c r="Z26" i="11"/>
  <c r="AA26" i="11" s="1"/>
  <c r="AA22" i="11"/>
  <c r="AA21" i="11"/>
  <c r="AA19" i="11"/>
  <c r="AA13" i="11"/>
  <c r="AC13" i="11" s="1"/>
  <c r="Z18" i="11"/>
  <c r="AA18" i="11" s="1"/>
  <c r="AA12" i="11"/>
  <c r="Z11" i="11"/>
  <c r="AA11" i="11" s="1"/>
  <c r="AD11" i="11" s="1"/>
  <c r="Z10" i="11"/>
  <c r="AA10" i="11" s="1"/>
  <c r="V7" i="10"/>
  <c r="S9" i="11"/>
  <c r="AF9" i="11"/>
  <c r="R7" i="10"/>
  <c r="AF7" i="10" s="1"/>
  <c r="AH7" i="10" s="1"/>
  <c r="E3" i="16"/>
  <c r="E4" i="16"/>
  <c r="E5" i="16"/>
  <c r="E6" i="16"/>
  <c r="E7" i="16"/>
  <c r="E8" i="16"/>
  <c r="E9" i="16"/>
  <c r="E10" i="16"/>
  <c r="E11" i="16"/>
  <c r="E12" i="16"/>
  <c r="E13" i="16"/>
  <c r="E14" i="16"/>
  <c r="E15" i="16"/>
  <c r="E16" i="16"/>
  <c r="E17" i="16"/>
  <c r="E18" i="16"/>
  <c r="E19" i="16"/>
  <c r="E20" i="16"/>
  <c r="E21" i="16"/>
  <c r="E22" i="16"/>
  <c r="E23" i="16"/>
  <c r="E24" i="16"/>
  <c r="E25" i="16"/>
  <c r="E26" i="16"/>
  <c r="E27" i="16"/>
  <c r="E28" i="16"/>
  <c r="E29" i="16"/>
  <c r="E30" i="16"/>
  <c r="E31" i="16"/>
  <c r="E32" i="16"/>
  <c r="E33" i="16"/>
  <c r="E34" i="16"/>
  <c r="E35" i="16"/>
  <c r="E36" i="16"/>
  <c r="E37" i="16"/>
  <c r="E38" i="16"/>
  <c r="E39" i="16"/>
  <c r="E40" i="16"/>
  <c r="E41" i="16"/>
  <c r="E42" i="16"/>
  <c r="E43" i="16"/>
  <c r="E44" i="16"/>
  <c r="E45" i="16"/>
  <c r="E46" i="16"/>
  <c r="E47" i="16"/>
  <c r="E48" i="16"/>
  <c r="E49" i="16"/>
  <c r="E50" i="16"/>
  <c r="E2" i="16"/>
  <c r="D3" i="16"/>
  <c r="D4" i="16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2" i="16"/>
  <c r="D2" i="6"/>
  <c r="AC17" i="11" l="1"/>
  <c r="AE17" i="11"/>
  <c r="AD17" i="11"/>
  <c r="AC15" i="11"/>
  <c r="AE15" i="11"/>
  <c r="AD15" i="11"/>
  <c r="AE29" i="11"/>
  <c r="AC29" i="11"/>
  <c r="AD29" i="11"/>
  <c r="AE28" i="11"/>
  <c r="AC28" i="11"/>
  <c r="AD28" i="11"/>
  <c r="AE13" i="11"/>
  <c r="AD13" i="11"/>
  <c r="AC27" i="11"/>
  <c r="AE27" i="11"/>
  <c r="AD27" i="11"/>
  <c r="AE26" i="11"/>
  <c r="AC26" i="11"/>
  <c r="AD26" i="11"/>
  <c r="AC22" i="11"/>
  <c r="AE22" i="11"/>
  <c r="AD22" i="11"/>
  <c r="AC21" i="11"/>
  <c r="AE21" i="11"/>
  <c r="AD21" i="11"/>
  <c r="AC19" i="11"/>
  <c r="AE19" i="11"/>
  <c r="AD19" i="11"/>
  <c r="AE18" i="11"/>
  <c r="AC18" i="11"/>
  <c r="AD18" i="11"/>
  <c r="AC12" i="11"/>
  <c r="AD12" i="11"/>
  <c r="AE12" i="11"/>
  <c r="AE11" i="11"/>
  <c r="AC11" i="11"/>
  <c r="AC10" i="11"/>
  <c r="AE10" i="11"/>
  <c r="AD10" i="11"/>
  <c r="S7" i="10"/>
  <c r="AG7" i="10"/>
  <c r="B3" i="16" l="1"/>
  <c r="B4" i="16"/>
  <c r="B5" i="16"/>
  <c r="B6" i="16"/>
  <c r="B7" i="16"/>
  <c r="B8" i="16"/>
  <c r="B9" i="16"/>
  <c r="B10" i="16"/>
  <c r="B11" i="16"/>
  <c r="B12" i="16"/>
  <c r="B13" i="16"/>
  <c r="B47" i="16"/>
  <c r="B48" i="16"/>
  <c r="B49" i="16"/>
  <c r="B50" i="16"/>
  <c r="B2" i="16"/>
  <c r="A3" i="16"/>
  <c r="A4" i="16"/>
  <c r="A5" i="16"/>
  <c r="A6" i="16"/>
  <c r="A7" i="16"/>
  <c r="A8" i="16"/>
  <c r="A9" i="16"/>
  <c r="A10" i="16"/>
  <c r="A11" i="16"/>
  <c r="A12" i="16"/>
  <c r="A13" i="16"/>
  <c r="A14" i="16"/>
  <c r="A15" i="16"/>
  <c r="A16" i="16"/>
  <c r="A17" i="16"/>
  <c r="A18" i="16"/>
  <c r="A19" i="16"/>
  <c r="A20" i="16"/>
  <c r="A21" i="16"/>
  <c r="A22" i="16"/>
  <c r="A23" i="16"/>
  <c r="A24" i="16"/>
  <c r="A25" i="16"/>
  <c r="A26" i="16"/>
  <c r="A27" i="16"/>
  <c r="A28" i="16"/>
  <c r="A29" i="16"/>
  <c r="A30" i="16"/>
  <c r="A31" i="16"/>
  <c r="A32" i="16"/>
  <c r="A33" i="16"/>
  <c r="A34" i="16"/>
  <c r="A35" i="16"/>
  <c r="A36" i="16"/>
  <c r="A37" i="16"/>
  <c r="A38" i="16"/>
  <c r="A39" i="16"/>
  <c r="A40" i="16"/>
  <c r="A41" i="16"/>
  <c r="A42" i="16"/>
  <c r="A43" i="16"/>
  <c r="A44" i="16"/>
  <c r="A45" i="16"/>
  <c r="A46" i="16"/>
  <c r="A47" i="16"/>
  <c r="A48" i="16"/>
  <c r="A49" i="16"/>
  <c r="A50" i="16"/>
  <c r="A2" i="16"/>
  <c r="Q5" i="15" l="1"/>
  <c r="AG9" i="15"/>
  <c r="B6" i="10" l="1"/>
  <c r="A6" i="10"/>
  <c r="B21" i="15"/>
  <c r="C21" i="15" s="1"/>
  <c r="A21" i="15"/>
  <c r="T21" i="15" s="1"/>
  <c r="B20" i="15"/>
  <c r="C20" i="15" s="1"/>
  <c r="A20" i="15"/>
  <c r="T20" i="15" s="1"/>
  <c r="B19" i="15"/>
  <c r="C19" i="15" s="1"/>
  <c r="A19" i="15"/>
  <c r="T19" i="15" s="1"/>
  <c r="B18" i="15"/>
  <c r="C18" i="15" s="1"/>
  <c r="A18" i="15"/>
  <c r="T18" i="15" s="1"/>
  <c r="B17" i="15"/>
  <c r="C17" i="15" s="1"/>
  <c r="A17" i="15"/>
  <c r="T17" i="15" s="1"/>
  <c r="B16" i="15"/>
  <c r="C16" i="15" s="1"/>
  <c r="A16" i="15"/>
  <c r="T16" i="15" s="1"/>
  <c r="B15" i="15"/>
  <c r="C15" i="15" s="1"/>
  <c r="A15" i="15"/>
  <c r="T15" i="15" s="1"/>
  <c r="B14" i="15"/>
  <c r="C14" i="15" s="1"/>
  <c r="A14" i="15"/>
  <c r="T14" i="15" s="1"/>
  <c r="B13" i="15"/>
  <c r="C13" i="15" s="1"/>
  <c r="A13" i="15"/>
  <c r="T13" i="15" s="1"/>
  <c r="B12" i="15"/>
  <c r="C12" i="15" s="1"/>
  <c r="A12" i="15"/>
  <c r="T12" i="15" s="1"/>
  <c r="B11" i="15"/>
  <c r="C11" i="15" s="1"/>
  <c r="A11" i="15"/>
  <c r="T11" i="15" s="1"/>
  <c r="B10" i="15"/>
  <c r="C10" i="15" s="1"/>
  <c r="A10" i="15"/>
  <c r="T10" i="15" s="1"/>
  <c r="B9" i="15"/>
  <c r="C9" i="15" s="1"/>
  <c r="A9" i="15"/>
  <c r="T9" i="15" s="1"/>
  <c r="B8" i="15"/>
  <c r="C8" i="15" s="1"/>
  <c r="A8" i="15"/>
  <c r="T8" i="15" s="1"/>
  <c r="B7" i="15"/>
  <c r="C7" i="15" s="1"/>
  <c r="A7" i="15"/>
  <c r="T7" i="15" s="1"/>
  <c r="B6" i="15"/>
  <c r="A6" i="15"/>
  <c r="T6" i="15" s="1"/>
  <c r="B7" i="11"/>
  <c r="A7" i="11"/>
  <c r="T7" i="11" s="1"/>
  <c r="N5" i="15"/>
  <c r="N5" i="11"/>
  <c r="N5" i="10"/>
  <c r="A6" i="11"/>
  <c r="T6" i="11" s="1"/>
  <c r="C6" i="15" l="1"/>
  <c r="X6" i="15"/>
  <c r="N11" i="15"/>
  <c r="Y11" i="15" s="1"/>
  <c r="Q11" i="15"/>
  <c r="AG11" i="15" s="1"/>
  <c r="N19" i="15"/>
  <c r="Y19" i="15" s="1"/>
  <c r="Q19" i="15"/>
  <c r="AG19" i="15" s="1"/>
  <c r="N7" i="15"/>
  <c r="Y7" i="15" s="1"/>
  <c r="Q7" i="15"/>
  <c r="AG7" i="15" s="1"/>
  <c r="N9" i="15"/>
  <c r="Y9" i="15" s="1"/>
  <c r="Q9" i="15"/>
  <c r="N16" i="15"/>
  <c r="Y16" i="15" s="1"/>
  <c r="Q16" i="15"/>
  <c r="AG16" i="15" s="1"/>
  <c r="N10" i="15"/>
  <c r="Y10" i="15" s="1"/>
  <c r="Q10" i="15"/>
  <c r="AG10" i="15" s="1"/>
  <c r="N17" i="15"/>
  <c r="Y17" i="15" s="1"/>
  <c r="Q17" i="15"/>
  <c r="AG17" i="15" s="1"/>
  <c r="N12" i="15"/>
  <c r="Y12" i="15" s="1"/>
  <c r="Q12" i="15"/>
  <c r="AG12" i="15" s="1"/>
  <c r="N18" i="15"/>
  <c r="Y18" i="15" s="1"/>
  <c r="Q18" i="15"/>
  <c r="AG18" i="15" s="1"/>
  <c r="N21" i="15"/>
  <c r="Y21" i="15" s="1"/>
  <c r="Q21" i="15"/>
  <c r="AG21" i="15" s="1"/>
  <c r="N13" i="15"/>
  <c r="Y13" i="15" s="1"/>
  <c r="Q13" i="15"/>
  <c r="AG13" i="15" s="1"/>
  <c r="N20" i="15"/>
  <c r="Y20" i="15" s="1"/>
  <c r="Q20" i="15"/>
  <c r="AG20" i="15" s="1"/>
  <c r="N15" i="15"/>
  <c r="Y15" i="15" s="1"/>
  <c r="Q15" i="15"/>
  <c r="AG15" i="15" s="1"/>
  <c r="N8" i="15"/>
  <c r="Y8" i="15" s="1"/>
  <c r="Q8" i="15"/>
  <c r="AG8" i="15" s="1"/>
  <c r="N14" i="15"/>
  <c r="Y14" i="15" s="1"/>
  <c r="Q14" i="15"/>
  <c r="AG14" i="15" s="1"/>
  <c r="M5" i="10"/>
  <c r="T6" i="10"/>
  <c r="X18" i="15"/>
  <c r="X16" i="15"/>
  <c r="X15" i="15"/>
  <c r="X13" i="15"/>
  <c r="X12" i="15"/>
  <c r="X11" i="15"/>
  <c r="X10" i="15"/>
  <c r="AE9" i="15"/>
  <c r="AD9" i="15"/>
  <c r="AC9" i="15"/>
  <c r="AA9" i="15"/>
  <c r="AB9" i="15" s="1"/>
  <c r="Z9" i="15"/>
  <c r="O9" i="15"/>
  <c r="X9" i="15"/>
  <c r="X7" i="15"/>
  <c r="P5" i="15"/>
  <c r="O5" i="15"/>
  <c r="M5" i="15"/>
  <c r="L5" i="15"/>
  <c r="K5" i="15"/>
  <c r="J5" i="15"/>
  <c r="I5" i="15"/>
  <c r="H5" i="15"/>
  <c r="G5" i="15"/>
  <c r="F5" i="15"/>
  <c r="E5" i="15"/>
  <c r="D5" i="15"/>
  <c r="P4" i="15"/>
  <c r="O4" i="15"/>
  <c r="L4" i="15"/>
  <c r="K4" i="15"/>
  <c r="J4" i="15"/>
  <c r="I4" i="15"/>
  <c r="E4" i="15"/>
  <c r="D4" i="15"/>
  <c r="P3" i="15"/>
  <c r="O3" i="15"/>
  <c r="I6" i="15" l="1"/>
  <c r="Q6" i="15"/>
  <c r="AG6" i="15" s="1"/>
  <c r="AA47" i="15" s="1"/>
  <c r="L6" i="15"/>
  <c r="H6" i="15"/>
  <c r="J6" i="15"/>
  <c r="G6" i="15"/>
  <c r="K6" i="15"/>
  <c r="O6" i="15"/>
  <c r="P6" i="15"/>
  <c r="M6" i="15"/>
  <c r="U6" i="15" s="1"/>
  <c r="N6" i="15"/>
  <c r="Y6" i="15" s="1"/>
  <c r="X17" i="15"/>
  <c r="O18" i="15"/>
  <c r="L16" i="15"/>
  <c r="G7" i="15"/>
  <c r="J15" i="15"/>
  <c r="L8" i="15"/>
  <c r="K8" i="15"/>
  <c r="D8" i="15"/>
  <c r="O17" i="15"/>
  <c r="I17" i="15"/>
  <c r="H17" i="15"/>
  <c r="X8" i="15"/>
  <c r="H9" i="15"/>
  <c r="F15" i="15"/>
  <c r="I9" i="15"/>
  <c r="G15" i="15"/>
  <c r="I15" i="15"/>
  <c r="I8" i="15"/>
  <c r="H8" i="15"/>
  <c r="G8" i="15"/>
  <c r="O8" i="15"/>
  <c r="F8" i="15"/>
  <c r="M8" i="15"/>
  <c r="E8" i="15"/>
  <c r="J8" i="15"/>
  <c r="X19" i="15"/>
  <c r="X14" i="15"/>
  <c r="H11" i="15"/>
  <c r="G11" i="15"/>
  <c r="O11" i="15"/>
  <c r="F11" i="15"/>
  <c r="M11" i="15"/>
  <c r="E11" i="15"/>
  <c r="L11" i="15"/>
  <c r="D11" i="15"/>
  <c r="I11" i="15"/>
  <c r="H16" i="15"/>
  <c r="F16" i="15"/>
  <c r="J16" i="15"/>
  <c r="G9" i="15"/>
  <c r="M15" i="15"/>
  <c r="G17" i="15"/>
  <c r="X21" i="15"/>
  <c r="J9" i="15"/>
  <c r="J17" i="15"/>
  <c r="K17" i="15"/>
  <c r="K9" i="15"/>
  <c r="D9" i="15"/>
  <c r="L9" i="15"/>
  <c r="D17" i="15"/>
  <c r="L17" i="15"/>
  <c r="X20" i="15"/>
  <c r="E9" i="15"/>
  <c r="M9" i="15"/>
  <c r="K15" i="15"/>
  <c r="E17" i="15"/>
  <c r="M17" i="15"/>
  <c r="I18" i="15"/>
  <c r="F9" i="15"/>
  <c r="F17" i="15"/>
  <c r="B6" i="11"/>
  <c r="Q5" i="11"/>
  <c r="P5" i="11"/>
  <c r="O5" i="11"/>
  <c r="M5" i="11"/>
  <c r="L5" i="11"/>
  <c r="K5" i="11"/>
  <c r="J5" i="11"/>
  <c r="I5" i="11"/>
  <c r="H5" i="11"/>
  <c r="G5" i="11"/>
  <c r="F5" i="11"/>
  <c r="E5" i="11"/>
  <c r="D5" i="11"/>
  <c r="P4" i="11"/>
  <c r="O4" i="11"/>
  <c r="L4" i="11"/>
  <c r="K4" i="11"/>
  <c r="J4" i="11"/>
  <c r="I4" i="11"/>
  <c r="E4" i="11"/>
  <c r="D4" i="11"/>
  <c r="P3" i="11"/>
  <c r="O3" i="11"/>
  <c r="AL20" i="10"/>
  <c r="X19" i="10"/>
  <c r="P3" i="10"/>
  <c r="O3" i="10"/>
  <c r="P4" i="10"/>
  <c r="O4" i="10"/>
  <c r="O5" i="10"/>
  <c r="P5" i="10"/>
  <c r="Q5" i="10"/>
  <c r="E4" i="10"/>
  <c r="I4" i="10"/>
  <c r="J4" i="10"/>
  <c r="K4" i="10"/>
  <c r="L4" i="10"/>
  <c r="E5" i="10"/>
  <c r="F5" i="10"/>
  <c r="G5" i="10"/>
  <c r="H5" i="10"/>
  <c r="I5" i="10"/>
  <c r="J5" i="10"/>
  <c r="K5" i="10"/>
  <c r="L5" i="10"/>
  <c r="D4" i="10"/>
  <c r="D5" i="10"/>
  <c r="C6" i="10"/>
  <c r="N6" i="10" s="1"/>
  <c r="AG19" i="10" l="1"/>
  <c r="AM16" i="10"/>
  <c r="AM17" i="10"/>
  <c r="AM14" i="10"/>
  <c r="AM15" i="10"/>
  <c r="AM8" i="10"/>
  <c r="AM13" i="10"/>
  <c r="AM10" i="10"/>
  <c r="AM12" i="10"/>
  <c r="AM9" i="10"/>
  <c r="AM11" i="10"/>
  <c r="V17" i="15"/>
  <c r="V9" i="15"/>
  <c r="V11" i="15"/>
  <c r="V8" i="15"/>
  <c r="V15" i="15"/>
  <c r="Q40" i="15"/>
  <c r="Y19" i="10"/>
  <c r="R6" i="15"/>
  <c r="C6" i="11"/>
  <c r="X6" i="11"/>
  <c r="AM7" i="10"/>
  <c r="U9" i="15"/>
  <c r="U11" i="15"/>
  <c r="U8" i="15"/>
  <c r="U15" i="15"/>
  <c r="U17" i="15"/>
  <c r="L6" i="10"/>
  <c r="M6" i="10"/>
  <c r="L18" i="15"/>
  <c r="D18" i="15"/>
  <c r="K18" i="15"/>
  <c r="H18" i="15"/>
  <c r="E18" i="15"/>
  <c r="J7" i="15"/>
  <c r="H7" i="15"/>
  <c r="E16" i="15"/>
  <c r="I16" i="15"/>
  <c r="K16" i="15"/>
  <c r="F7" i="15"/>
  <c r="V7" i="15" s="1"/>
  <c r="M16" i="15"/>
  <c r="M18" i="15"/>
  <c r="G18" i="15"/>
  <c r="K7" i="15"/>
  <c r="O16" i="15"/>
  <c r="D16" i="15"/>
  <c r="D7" i="15"/>
  <c r="J18" i="15"/>
  <c r="M7" i="15"/>
  <c r="G16" i="15"/>
  <c r="V16" i="15" s="1"/>
  <c r="F18" i="15"/>
  <c r="E7" i="15"/>
  <c r="I7" i="15"/>
  <c r="L15" i="15"/>
  <c r="O15" i="15"/>
  <c r="E15" i="15"/>
  <c r="L7" i="15"/>
  <c r="O7" i="15"/>
  <c r="D15" i="15"/>
  <c r="H15" i="15"/>
  <c r="C7" i="11"/>
  <c r="X7" i="11"/>
  <c r="K11" i="15"/>
  <c r="J11" i="15"/>
  <c r="M21" i="15"/>
  <c r="E21" i="15"/>
  <c r="K21" i="15"/>
  <c r="H21" i="15"/>
  <c r="O21" i="15"/>
  <c r="L21" i="15"/>
  <c r="J21" i="15"/>
  <c r="I21" i="15"/>
  <c r="G21" i="15"/>
  <c r="F21" i="15"/>
  <c r="D21" i="15"/>
  <c r="J13" i="15"/>
  <c r="I13" i="15"/>
  <c r="H13" i="15"/>
  <c r="G13" i="15"/>
  <c r="O13" i="15"/>
  <c r="F13" i="15"/>
  <c r="K13" i="15"/>
  <c r="E13" i="15"/>
  <c r="D13" i="15"/>
  <c r="M13" i="15"/>
  <c r="L13" i="15"/>
  <c r="K19" i="15"/>
  <c r="I19" i="15"/>
  <c r="O19" i="15"/>
  <c r="F19" i="15"/>
  <c r="J19" i="15"/>
  <c r="H19" i="15"/>
  <c r="G19" i="15"/>
  <c r="E19" i="15"/>
  <c r="D19" i="15"/>
  <c r="L19" i="15"/>
  <c r="M19" i="15"/>
  <c r="F6" i="15"/>
  <c r="V6" i="15" s="1"/>
  <c r="E6" i="15"/>
  <c r="D6" i="15"/>
  <c r="H20" i="15"/>
  <c r="O20" i="15"/>
  <c r="F20" i="15"/>
  <c r="K20" i="15"/>
  <c r="E20" i="15"/>
  <c r="D20" i="15"/>
  <c r="M20" i="15"/>
  <c r="L20" i="15"/>
  <c r="G20" i="15"/>
  <c r="J20" i="15"/>
  <c r="I20" i="15"/>
  <c r="G14" i="15"/>
  <c r="O14" i="15"/>
  <c r="F14" i="15"/>
  <c r="M14" i="15"/>
  <c r="E14" i="15"/>
  <c r="L14" i="15"/>
  <c r="D14" i="15"/>
  <c r="K14" i="15"/>
  <c r="H14" i="15"/>
  <c r="J14" i="15"/>
  <c r="I14" i="15"/>
  <c r="K10" i="15"/>
  <c r="J10" i="15"/>
  <c r="I10" i="15"/>
  <c r="H10" i="15"/>
  <c r="G10" i="15"/>
  <c r="L10" i="15"/>
  <c r="D10" i="15"/>
  <c r="O10" i="15"/>
  <c r="M10" i="15"/>
  <c r="F10" i="15"/>
  <c r="E10" i="15"/>
  <c r="M12" i="15"/>
  <c r="E12" i="15"/>
  <c r="L12" i="15"/>
  <c r="D12" i="15"/>
  <c r="K12" i="15"/>
  <c r="J12" i="15"/>
  <c r="I12" i="15"/>
  <c r="O12" i="15"/>
  <c r="F12" i="15"/>
  <c r="G12" i="15"/>
  <c r="H12" i="15"/>
  <c r="AM6" i="10"/>
  <c r="E6" i="10"/>
  <c r="H6" i="10"/>
  <c r="H20" i="10" s="1"/>
  <c r="G6" i="10"/>
  <c r="F6" i="10"/>
  <c r="I6" i="10"/>
  <c r="Q6" i="10"/>
  <c r="J6" i="10"/>
  <c r="K6" i="10"/>
  <c r="O6" i="10"/>
  <c r="D6" i="10"/>
  <c r="X6" i="10"/>
  <c r="AF6" i="15" l="1"/>
  <c r="Z6" i="15" s="1"/>
  <c r="AA6" i="15" s="1"/>
  <c r="AI36" i="15"/>
  <c r="AI38" i="15"/>
  <c r="AI37" i="15"/>
  <c r="AI35" i="15"/>
  <c r="AI36" i="11"/>
  <c r="AI37" i="11"/>
  <c r="AI35" i="11"/>
  <c r="AI38" i="11"/>
  <c r="AK15" i="10"/>
  <c r="AK12" i="10"/>
  <c r="AK11" i="10"/>
  <c r="AK9" i="10"/>
  <c r="AK17" i="10"/>
  <c r="AK14" i="10"/>
  <c r="AK16" i="10"/>
  <c r="AK13" i="10"/>
  <c r="AK8" i="10"/>
  <c r="AK10" i="10"/>
  <c r="AI31" i="11"/>
  <c r="AI34" i="11"/>
  <c r="AI33" i="11"/>
  <c r="AI32" i="11"/>
  <c r="V18" i="15"/>
  <c r="V20" i="15"/>
  <c r="V6" i="10"/>
  <c r="V13" i="15"/>
  <c r="V12" i="15"/>
  <c r="V10" i="15"/>
  <c r="V14" i="15"/>
  <c r="V19" i="15"/>
  <c r="V21" i="15"/>
  <c r="AK7" i="10"/>
  <c r="E6" i="11"/>
  <c r="F6" i="11"/>
  <c r="AI20" i="11"/>
  <c r="AI25" i="11"/>
  <c r="AI26" i="11"/>
  <c r="AI29" i="11"/>
  <c r="AI22" i="11"/>
  <c r="AI17" i="11"/>
  <c r="AI10" i="11"/>
  <c r="AI12" i="11"/>
  <c r="AI14" i="11"/>
  <c r="AI24" i="11"/>
  <c r="AI19" i="11"/>
  <c r="AI15" i="11"/>
  <c r="AI21" i="11"/>
  <c r="AI16" i="11"/>
  <c r="AI18" i="11"/>
  <c r="AI30" i="11"/>
  <c r="AI11" i="11"/>
  <c r="AI13" i="11"/>
  <c r="AI23" i="11"/>
  <c r="AI27" i="11"/>
  <c r="AI28" i="11"/>
  <c r="AI7" i="11"/>
  <c r="AI9" i="11"/>
  <c r="AI8" i="11"/>
  <c r="D6" i="11"/>
  <c r="S6" i="15"/>
  <c r="M6" i="11"/>
  <c r="U6" i="11" s="1"/>
  <c r="G6" i="11"/>
  <c r="O6" i="11"/>
  <c r="P6" i="11"/>
  <c r="K6" i="11"/>
  <c r="N6" i="11"/>
  <c r="Y6" i="11" s="1"/>
  <c r="H6" i="11"/>
  <c r="I6" i="11"/>
  <c r="Q6" i="11"/>
  <c r="J6" i="11"/>
  <c r="AI6" i="11"/>
  <c r="L6" i="11"/>
  <c r="AI31" i="15"/>
  <c r="AI33" i="15"/>
  <c r="AI23" i="15"/>
  <c r="AI29" i="15"/>
  <c r="AI25" i="15"/>
  <c r="AI24" i="15"/>
  <c r="AI28" i="15"/>
  <c r="AI27" i="15"/>
  <c r="AI34" i="15"/>
  <c r="AI30" i="15"/>
  <c r="AI22" i="15"/>
  <c r="AI26" i="15"/>
  <c r="AI32" i="15"/>
  <c r="W7" i="10"/>
  <c r="J7" i="11"/>
  <c r="Q7" i="11"/>
  <c r="I7" i="11"/>
  <c r="N7" i="11"/>
  <c r="Y7" i="11" s="1"/>
  <c r="O7" i="11"/>
  <c r="E7" i="11"/>
  <c r="U18" i="15"/>
  <c r="U14" i="15"/>
  <c r="U19" i="15"/>
  <c r="U12" i="15"/>
  <c r="U10" i="15"/>
  <c r="U16" i="15"/>
  <c r="U20" i="15"/>
  <c r="U13" i="15"/>
  <c r="U21" i="15"/>
  <c r="U7" i="15"/>
  <c r="U6" i="10"/>
  <c r="F7" i="11"/>
  <c r="AI15" i="15"/>
  <c r="AI8" i="15"/>
  <c r="AI9" i="15"/>
  <c r="AI10" i="15"/>
  <c r="AI12" i="15"/>
  <c r="AI13" i="15"/>
  <c r="AI11" i="15"/>
  <c r="M7" i="11"/>
  <c r="AI17" i="15"/>
  <c r="AI18" i="15"/>
  <c r="AI19" i="15"/>
  <c r="AI20" i="15"/>
  <c r="AI21" i="15"/>
  <c r="AI14" i="15"/>
  <c r="L7" i="11"/>
  <c r="H7" i="11"/>
  <c r="D7" i="11"/>
  <c r="AI7" i="15"/>
  <c r="K7" i="11"/>
  <c r="AI16" i="15"/>
  <c r="G7" i="11"/>
  <c r="AE6" i="15" l="1"/>
  <c r="AD6" i="15"/>
  <c r="AC6" i="15"/>
  <c r="Z16" i="10"/>
  <c r="AA16" i="10" s="1"/>
  <c r="Z17" i="10"/>
  <c r="AA17" i="10" s="1"/>
  <c r="Z10" i="10"/>
  <c r="AA10" i="10" s="1"/>
  <c r="Z8" i="10"/>
  <c r="AA8" i="10" s="1"/>
  <c r="AD8" i="10" s="1"/>
  <c r="Z9" i="10"/>
  <c r="AA9" i="10" s="1"/>
  <c r="Z13" i="10"/>
  <c r="AA13" i="10" s="1"/>
  <c r="Z14" i="10"/>
  <c r="AA14" i="10" s="1"/>
  <c r="Z11" i="10"/>
  <c r="AA11" i="10" s="1"/>
  <c r="AE11" i="10" s="1"/>
  <c r="Z12" i="10"/>
  <c r="AA12" i="10" s="1"/>
  <c r="Z15" i="10"/>
  <c r="AA15" i="10" s="1"/>
  <c r="V7" i="11"/>
  <c r="V6" i="11"/>
  <c r="W6" i="11" s="1"/>
  <c r="W28" i="11"/>
  <c r="W27" i="11"/>
  <c r="W26" i="11"/>
  <c r="W25" i="11"/>
  <c r="W10" i="11"/>
  <c r="W20" i="11"/>
  <c r="W18" i="11"/>
  <c r="W23" i="11"/>
  <c r="W19" i="11"/>
  <c r="W24" i="11"/>
  <c r="W21" i="11"/>
  <c r="W22" i="11"/>
  <c r="W15" i="11"/>
  <c r="W13" i="11"/>
  <c r="W11" i="11"/>
  <c r="W17" i="11"/>
  <c r="W12" i="11"/>
  <c r="W14" i="11"/>
  <c r="W16" i="11"/>
  <c r="R6" i="11"/>
  <c r="AF6" i="11" s="1"/>
  <c r="W6" i="15"/>
  <c r="W30" i="15"/>
  <c r="W31" i="15"/>
  <c r="W33" i="15"/>
  <c r="W32" i="15"/>
  <c r="W29" i="15"/>
  <c r="W34" i="15"/>
  <c r="W25" i="15"/>
  <c r="W23" i="15"/>
  <c r="W28" i="15"/>
  <c r="W24" i="15"/>
  <c r="W27" i="15"/>
  <c r="W26" i="15"/>
  <c r="W8" i="11"/>
  <c r="W9" i="11"/>
  <c r="W22" i="15"/>
  <c r="Z20" i="15"/>
  <c r="AA20" i="15"/>
  <c r="AD16" i="15"/>
  <c r="AE16" i="15"/>
  <c r="AC16" i="15"/>
  <c r="W6" i="10"/>
  <c r="W11" i="15"/>
  <c r="W20" i="15"/>
  <c r="W12" i="15"/>
  <c r="W14" i="15"/>
  <c r="W15" i="15"/>
  <c r="W16" i="15"/>
  <c r="W7" i="15"/>
  <c r="W21" i="15"/>
  <c r="W18" i="15"/>
  <c r="W13" i="15"/>
  <c r="W10" i="15"/>
  <c r="W17" i="15"/>
  <c r="W9" i="15"/>
  <c r="W8" i="15"/>
  <c r="W19" i="15"/>
  <c r="U7" i="11"/>
  <c r="AE9" i="10" l="1"/>
  <c r="AD9" i="10"/>
  <c r="AD15" i="10"/>
  <c r="AE15" i="10"/>
  <c r="AC15" i="10"/>
  <c r="AC17" i="10"/>
  <c r="AD17" i="10"/>
  <c r="AE17" i="10"/>
  <c r="AC13" i="10"/>
  <c r="AE13" i="10"/>
  <c r="AD13" i="10"/>
  <c r="AD12" i="10"/>
  <c r="AC12" i="10"/>
  <c r="AE12" i="10"/>
  <c r="AE10" i="10"/>
  <c r="AC10" i="10"/>
  <c r="AD10" i="10"/>
  <c r="AD14" i="10"/>
  <c r="AC14" i="10"/>
  <c r="AE14" i="10"/>
  <c r="AE16" i="10"/>
  <c r="AD16" i="10"/>
  <c r="AC16" i="10"/>
  <c r="AC9" i="10"/>
  <c r="AC11" i="10"/>
  <c r="AD11" i="10"/>
  <c r="AC8" i="10"/>
  <c r="AE8" i="10"/>
  <c r="AC20" i="15"/>
  <c r="AB20" i="15"/>
  <c r="S6" i="11"/>
  <c r="V4" i="15"/>
  <c r="Z21" i="15"/>
  <c r="AA21" i="15" s="1"/>
  <c r="AB21" i="15" s="1"/>
  <c r="AA19" i="15"/>
  <c r="AE20" i="15"/>
  <c r="V4" i="10"/>
  <c r="W7" i="11"/>
  <c r="AE19" i="15" l="1"/>
  <c r="AB19" i="15"/>
  <c r="AC21" i="15"/>
  <c r="AE21" i="15"/>
  <c r="AD21" i="15"/>
  <c r="AC19" i="15"/>
  <c r="AD19" i="15"/>
  <c r="V4" i="11"/>
  <c r="P21" i="15" l="1"/>
  <c r="R21" i="15" s="1"/>
  <c r="P17" i="15"/>
  <c r="R17" i="15" s="1"/>
  <c r="P18" i="15"/>
  <c r="R18" i="15" s="1"/>
  <c r="P19" i="15"/>
  <c r="R19" i="15" s="1"/>
  <c r="P20" i="15"/>
  <c r="R20" i="15" s="1"/>
  <c r="P15" i="15"/>
  <c r="R15" i="15" s="1"/>
  <c r="P14" i="15"/>
  <c r="R14" i="15" s="1"/>
  <c r="P16" i="15"/>
  <c r="R16" i="15" s="1"/>
  <c r="P13" i="15"/>
  <c r="R13" i="15" s="1"/>
  <c r="P12" i="15"/>
  <c r="R12" i="15" s="1"/>
  <c r="P8" i="15"/>
  <c r="R8" i="15" s="1"/>
  <c r="P9" i="15"/>
  <c r="R9" i="15" s="1"/>
  <c r="P10" i="15"/>
  <c r="R10" i="15" s="1"/>
  <c r="P11" i="15"/>
  <c r="R11" i="15" s="1"/>
  <c r="P6" i="10"/>
  <c r="R6" i="10" s="1"/>
  <c r="P7" i="15"/>
  <c r="R7" i="15" s="1"/>
  <c r="P7" i="11"/>
  <c r="R7" i="11" s="1"/>
  <c r="AA23" i="10"/>
  <c r="S21" i="15" l="1"/>
  <c r="AF21" i="15"/>
  <c r="S19" i="15"/>
  <c r="AF19" i="15"/>
  <c r="Z19" i="15" s="1"/>
  <c r="S18" i="15"/>
  <c r="AF18" i="15"/>
  <c r="Z18" i="15" s="1"/>
  <c r="AF20" i="15"/>
  <c r="S20" i="15"/>
  <c r="AD20" i="15" s="1"/>
  <c r="S17" i="15"/>
  <c r="AF17" i="15"/>
  <c r="Z17" i="15" s="1"/>
  <c r="AF16" i="15"/>
  <c r="Z16" i="15" s="1"/>
  <c r="AA16" i="15" s="1"/>
  <c r="AB16" i="15" s="1"/>
  <c r="S16" i="15"/>
  <c r="AF14" i="15"/>
  <c r="Z14" i="15" s="1"/>
  <c r="AA14" i="15" s="1"/>
  <c r="S14" i="15"/>
  <c r="AF15" i="15"/>
  <c r="Z15" i="15" s="1"/>
  <c r="AA15" i="15" s="1"/>
  <c r="S15" i="15"/>
  <c r="S13" i="15"/>
  <c r="AF13" i="15"/>
  <c r="Z13" i="15" s="1"/>
  <c r="AF9" i="15"/>
  <c r="S9" i="15"/>
  <c r="AF11" i="15"/>
  <c r="Z11" i="15" s="1"/>
  <c r="S11" i="15"/>
  <c r="AF8" i="15"/>
  <c r="S8" i="15"/>
  <c r="AF10" i="15"/>
  <c r="S10" i="15"/>
  <c r="S7" i="11"/>
  <c r="AF7" i="11"/>
  <c r="AF7" i="15"/>
  <c r="Z7" i="15" s="1"/>
  <c r="S7" i="15"/>
  <c r="S6" i="10"/>
  <c r="AF6" i="10"/>
  <c r="AG6" i="10"/>
  <c r="AF12" i="15"/>
  <c r="Z12" i="15" s="1"/>
  <c r="S12" i="15"/>
  <c r="P40" i="15"/>
  <c r="X18" i="10"/>
  <c r="AA17" i="15" l="1"/>
  <c r="AD15" i="15"/>
  <c r="AC15" i="15"/>
  <c r="AE15" i="15"/>
  <c r="AD14" i="15"/>
  <c r="AC14" i="15"/>
  <c r="AE14" i="15"/>
  <c r="Z10" i="15"/>
  <c r="AA10" i="15" s="1"/>
  <c r="Z8" i="15"/>
  <c r="AA8" i="15" s="1"/>
  <c r="AA13" i="15"/>
  <c r="AB13" i="15" s="1"/>
  <c r="AA18" i="15"/>
  <c r="AB18" i="15" s="1"/>
  <c r="AA7" i="15"/>
  <c r="AB7" i="15" s="1"/>
  <c r="AA12" i="15"/>
  <c r="AA11" i="15"/>
  <c r="AH6" i="10"/>
  <c r="AG20" i="10"/>
  <c r="Q40" i="11"/>
  <c r="AB12" i="15" l="1"/>
  <c r="AC17" i="15"/>
  <c r="AE17" i="15"/>
  <c r="AD17" i="15"/>
  <c r="AB15" i="15"/>
  <c r="AB17" i="15"/>
  <c r="AB14" i="15"/>
  <c r="AB10" i="15"/>
  <c r="AE10" i="15"/>
  <c r="AC10" i="15"/>
  <c r="AD10" i="15"/>
  <c r="AB8" i="15"/>
  <c r="AB6" i="15"/>
  <c r="AE11" i="15"/>
  <c r="AB11" i="15"/>
  <c r="Z2" i="15"/>
  <c r="AD11" i="15"/>
  <c r="AE8" i="15"/>
  <c r="AD8" i="15"/>
  <c r="AC8" i="15"/>
  <c r="AC12" i="15"/>
  <c r="AE12" i="15"/>
  <c r="AC13" i="15"/>
  <c r="AD13" i="15"/>
  <c r="AE13" i="15"/>
  <c r="AE7" i="15"/>
  <c r="AC7" i="15"/>
  <c r="AD7" i="15"/>
  <c r="AC18" i="15"/>
  <c r="AD18" i="15"/>
  <c r="AE18" i="15"/>
  <c r="AD12" i="15"/>
  <c r="AC11" i="15"/>
  <c r="AA41" i="15"/>
  <c r="AA39" i="15"/>
  <c r="AA2" i="15" s="1"/>
  <c r="J21" i="10"/>
  <c r="K21" i="10"/>
  <c r="P21" i="10"/>
  <c r="P40" i="11"/>
  <c r="J22" i="10" l="1"/>
  <c r="AJ2" i="10" s="1"/>
  <c r="AA43" i="15"/>
  <c r="AC39" i="15"/>
  <c r="AE39" i="15"/>
  <c r="AA46" i="15" s="1"/>
  <c r="AD39" i="15"/>
  <c r="AA45" i="15" s="1"/>
  <c r="AA44" i="15" l="1"/>
  <c r="S19" i="10" s="1"/>
  <c r="E19" i="10"/>
  <c r="D19" i="10"/>
  <c r="AH20" i="10"/>
  <c r="R19" i="10" l="1"/>
  <c r="AI15" i="10"/>
  <c r="AI8" i="10"/>
  <c r="AI13" i="10"/>
  <c r="AI12" i="10"/>
  <c r="AI14" i="10"/>
  <c r="AI11" i="10"/>
  <c r="AI9" i="10"/>
  <c r="AI16" i="10"/>
  <c r="AI10" i="10"/>
  <c r="AI17" i="10"/>
  <c r="AI7" i="10"/>
  <c r="AI6" i="10"/>
  <c r="AN6" i="10" s="1"/>
  <c r="AO6" i="10" s="1"/>
  <c r="AN9" i="10" l="1"/>
  <c r="AO9" i="10" s="1"/>
  <c r="AJ9" i="10"/>
  <c r="AN11" i="10"/>
  <c r="AO11" i="10" s="1"/>
  <c r="AJ11" i="10"/>
  <c r="AN14" i="10"/>
  <c r="AO14" i="10" s="1"/>
  <c r="AJ14" i="10"/>
  <c r="AN12" i="10"/>
  <c r="AO12" i="10" s="1"/>
  <c r="AJ12" i="10"/>
  <c r="AN17" i="10"/>
  <c r="AO17" i="10" s="1"/>
  <c r="AJ17" i="10"/>
  <c r="AN13" i="10"/>
  <c r="AO13" i="10" s="1"/>
  <c r="AJ13" i="10"/>
  <c r="AN8" i="10"/>
  <c r="AO8" i="10" s="1"/>
  <c r="AJ8" i="10"/>
  <c r="AN10" i="10"/>
  <c r="AO10" i="10" s="1"/>
  <c r="AJ10" i="10"/>
  <c r="AN15" i="10"/>
  <c r="AO15" i="10" s="1"/>
  <c r="AJ15" i="10"/>
  <c r="AN16" i="10"/>
  <c r="AO16" i="10" s="1"/>
  <c r="AJ16" i="10"/>
  <c r="AN7" i="10"/>
  <c r="AO7" i="10" s="1"/>
  <c r="AJ7" i="10"/>
  <c r="AJ6" i="10"/>
  <c r="AA28" i="10" l="1"/>
  <c r="AI20" i="10"/>
  <c r="AJ20" i="10" l="1"/>
  <c r="AF19" i="10" l="1"/>
  <c r="Z19" i="10" s="1"/>
  <c r="AA19" i="10" l="1"/>
  <c r="AH19" i="10"/>
  <c r="AE19" i="10" l="1"/>
  <c r="AD19" i="10"/>
  <c r="AC19" i="10"/>
  <c r="Z8" i="11" l="1"/>
  <c r="AA8" i="11" s="1"/>
  <c r="AG8" i="11"/>
  <c r="AG7" i="11"/>
  <c r="Z7" i="11"/>
  <c r="AA7" i="11" s="1"/>
  <c r="Z9" i="11"/>
  <c r="AA9" i="11" s="1"/>
  <c r="AG9" i="11"/>
  <c r="AB7" i="11" l="1"/>
  <c r="AB34" i="11"/>
  <c r="AB15" i="11"/>
  <c r="AB17" i="11"/>
  <c r="AB29" i="11"/>
  <c r="AB28" i="11"/>
  <c r="AB26" i="11"/>
  <c r="AB27" i="11"/>
  <c r="AB22" i="11"/>
  <c r="AB19" i="11"/>
  <c r="AB21" i="11"/>
  <c r="AB13" i="11"/>
  <c r="AB18" i="11"/>
  <c r="AB12" i="11"/>
  <c r="AB11" i="11"/>
  <c r="AB9" i="11"/>
  <c r="AC9" i="11"/>
  <c r="AB8" i="11"/>
  <c r="AB10" i="11"/>
  <c r="AD9" i="11"/>
  <c r="AE9" i="11"/>
  <c r="AE8" i="11"/>
  <c r="AD8" i="11"/>
  <c r="AC8" i="11"/>
  <c r="AC7" i="11"/>
  <c r="AE7" i="11"/>
  <c r="AD7" i="11"/>
  <c r="Z7" i="10"/>
  <c r="AA7" i="10" s="1"/>
  <c r="AE7" i="10" l="1"/>
  <c r="AC7" i="10"/>
  <c r="AD7" i="10"/>
  <c r="AI6" i="15" l="1"/>
  <c r="AE6" i="11"/>
  <c r="AE39" i="11" s="1"/>
  <c r="AC6" i="11"/>
  <c r="AC39" i="11" s="1"/>
  <c r="AG6" i="11"/>
  <c r="Z6" i="11"/>
  <c r="Z2" i="11" s="1"/>
  <c r="AD6" i="11"/>
  <c r="AD39" i="11" s="1"/>
  <c r="AK6" i="10"/>
  <c r="Z6" i="10" s="1"/>
  <c r="AA6" i="11"/>
  <c r="AB6" i="11" s="1"/>
  <c r="AG18" i="10" l="1"/>
  <c r="AA47" i="11"/>
  <c r="Y18" i="10" s="1"/>
  <c r="AK20" i="10"/>
  <c r="AA41" i="11"/>
  <c r="AA6" i="10"/>
  <c r="AA39" i="11"/>
  <c r="AA2" i="11" s="1"/>
  <c r="AD6" i="10" l="1"/>
  <c r="AE6" i="10"/>
  <c r="AC6" i="10"/>
  <c r="AA43" i="11"/>
  <c r="E18" i="10" l="1"/>
  <c r="AA46" i="11"/>
  <c r="AA44" i="11"/>
  <c r="AA45" i="11"/>
  <c r="S18" i="10" l="1"/>
  <c r="D18" i="10"/>
  <c r="R18" i="10"/>
  <c r="AF18" i="10" s="1"/>
  <c r="AH18" i="10" s="1"/>
  <c r="AF2" i="10" l="1"/>
  <c r="Z18" i="10"/>
  <c r="Z2" i="10" s="1"/>
  <c r="AA18" i="10" l="1"/>
  <c r="AB19" i="10" s="1"/>
  <c r="AB12" i="10" l="1"/>
  <c r="AB17" i="10"/>
  <c r="AB16" i="10"/>
  <c r="AB10" i="10"/>
  <c r="AB13" i="10"/>
  <c r="AB11" i="10"/>
  <c r="AB8" i="10"/>
  <c r="AB15" i="10"/>
  <c r="AB9" i="10"/>
  <c r="AB14" i="10"/>
  <c r="AE18" i="10"/>
  <c r="AE20" i="10" s="1"/>
  <c r="AB18" i="10"/>
  <c r="AB6" i="10"/>
  <c r="AB7" i="10"/>
  <c r="AD18" i="10"/>
  <c r="AD20" i="10" s="1"/>
  <c r="AC18" i="10"/>
  <c r="AC20" i="10" s="1"/>
  <c r="AA22" i="10"/>
  <c r="AA20" i="10"/>
  <c r="AA2" i="10"/>
  <c r="AA24" i="10" l="1"/>
  <c r="B11" i="18" l="1"/>
  <c r="AA32" i="10"/>
  <c r="AA27" i="10"/>
  <c r="B10" i="18" s="1"/>
  <c r="AA25" i="10"/>
  <c r="AA26" i="10"/>
  <c r="AA36" i="10" s="1"/>
  <c r="AA35" i="10" l="1"/>
  <c r="AE27" i="10"/>
</calcChain>
</file>

<file path=xl/sharedStrings.xml><?xml version="1.0" encoding="utf-8"?>
<sst xmlns="http://schemas.openxmlformats.org/spreadsheetml/2006/main" count="1455" uniqueCount="954">
  <si>
    <t>paste from QC sheet</t>
  </si>
  <si>
    <t>if available</t>
  </si>
  <si>
    <t>Final Library</t>
  </si>
  <si>
    <t>Calculated</t>
  </si>
  <si>
    <t>Use</t>
  </si>
  <si>
    <t>Lib</t>
  </si>
  <si>
    <t>Final</t>
  </si>
  <si>
    <t>Total</t>
  </si>
  <si>
    <t>Barcodes</t>
  </si>
  <si>
    <t>lowMW=primer</t>
  </si>
  <si>
    <t>AdDimer</t>
  </si>
  <si>
    <t>Library</t>
  </si>
  <si>
    <t>library</t>
  </si>
  <si>
    <t>Target</t>
  </si>
  <si>
    <t>Project#</t>
  </si>
  <si>
    <t>Name</t>
  </si>
  <si>
    <t>RNA</t>
  </si>
  <si>
    <t>ng/ul</t>
  </si>
  <si>
    <t>vol</t>
  </si>
  <si>
    <t>Adj peak size</t>
  </si>
  <si>
    <t>%ofLib</t>
  </si>
  <si>
    <t>nM</t>
  </si>
  <si>
    <t>final#</t>
  </si>
  <si>
    <t>storage</t>
  </si>
  <si>
    <t>Reads (M)</t>
  </si>
  <si>
    <t>nd</t>
  </si>
  <si>
    <t/>
  </si>
  <si>
    <t>END</t>
  </si>
  <si>
    <t>Final Pool</t>
  </si>
  <si>
    <t>M reads per flowcell (min)</t>
  </si>
  <si>
    <r>
      <t xml:space="preserve">Don’t add libraries here -- only add on INPUTS sheet! </t>
    </r>
    <r>
      <rPr>
        <b/>
        <sz val="11"/>
        <rFont val="Calibri"/>
        <family val="2"/>
        <scheme val="minor"/>
      </rPr>
      <t>Filter this sheet for printing (no need to delete rows)</t>
    </r>
  </si>
  <si>
    <t>M nonAdaptor reads</t>
  </si>
  <si>
    <t>AdDimer adjust</t>
  </si>
  <si>
    <t>Final Lib</t>
  </si>
  <si>
    <t>Pool</t>
  </si>
  <si>
    <t>yes</t>
  </si>
  <si>
    <t>consider prepool</t>
  </si>
  <si>
    <t>pre-dil</t>
  </si>
  <si>
    <t>pmol (Adj lib)</t>
  </si>
  <si>
    <t>target</t>
  </si>
  <si>
    <t>formula - select libs on Prepool sheet</t>
  </si>
  <si>
    <t>Project ID</t>
  </si>
  <si>
    <t>match</t>
  </si>
  <si>
    <t>Adj lib nM</t>
  </si>
  <si>
    <t>tot nM</t>
  </si>
  <si>
    <t>Lib#</t>
  </si>
  <si>
    <t>BC</t>
  </si>
  <si>
    <t>name</t>
  </si>
  <si>
    <t>Loc</t>
  </si>
  <si>
    <t>adj lib pmol</t>
  </si>
  <si>
    <t>tot pmol</t>
  </si>
  <si>
    <t>total ng</t>
  </si>
  <si>
    <t>stock vol</t>
  </si>
  <si>
    <t>M reads</t>
  </si>
  <si>
    <t>% of pool</t>
  </si>
  <si>
    <t>est M reads</t>
  </si>
  <si>
    <t>Prepool #</t>
  </si>
  <si>
    <t>flowcell</t>
  </si>
  <si>
    <t>% of run</t>
  </si>
  <si>
    <t>obs/exp</t>
  </si>
  <si>
    <t>adj uM</t>
  </si>
  <si>
    <t>Prepool 1</t>
  </si>
  <si>
    <t>Mix</t>
  </si>
  <si>
    <t>Prepool 2</t>
  </si>
  <si>
    <t>avg peak</t>
  </si>
  <si>
    <t>total pmol</t>
  </si>
  <si>
    <t>%AdDimer</t>
  </si>
  <si>
    <t>Lib vol</t>
  </si>
  <si>
    <t>ul</t>
  </si>
  <si>
    <t>0.1x TE buffer</t>
  </si>
  <si>
    <t>add TE</t>
  </si>
  <si>
    <t>Pool vol</t>
  </si>
  <si>
    <t>adj lib</t>
  </si>
  <si>
    <t>total</t>
  </si>
  <si>
    <t># libraries</t>
  </si>
  <si>
    <t>filter on Project &lt;&gt; none</t>
  </si>
  <si>
    <t>Select Libs Here</t>
  </si>
  <si>
    <t>include</t>
  </si>
  <si>
    <t>included</t>
  </si>
  <si>
    <t>Final pool</t>
  </si>
  <si>
    <t>in this</t>
  </si>
  <si>
    <t>in</t>
  </si>
  <si>
    <t>Prepool</t>
  </si>
  <si>
    <t>avg</t>
  </si>
  <si>
    <t>add TT</t>
  </si>
  <si>
    <t>Prepool vol</t>
  </si>
  <si>
    <t>Prepool nM</t>
  </si>
  <si>
    <t>Prepool ng/ul</t>
  </si>
  <si>
    <t>Sample Name</t>
  </si>
  <si>
    <t>Barcode</t>
  </si>
  <si>
    <t>Label</t>
  </si>
  <si>
    <t>Sample info for URMC</t>
  </si>
  <si>
    <t>Sample name in LIMS (Linda)</t>
  </si>
  <si>
    <t>Shared lanes:? M-reads/Gbp</t>
  </si>
  <si>
    <t>No</t>
  </si>
  <si>
    <t>Paste in to trim (Linda)</t>
  </si>
  <si>
    <t xml:space="preserve">Organism </t>
  </si>
  <si>
    <t xml:space="preserve">Copy paste sample names from email below to use last tab in excel </t>
  </si>
  <si>
    <t>Library type/Kit type</t>
  </si>
  <si>
    <t>Sample name-paste in</t>
  </si>
  <si>
    <t>i7</t>
  </si>
  <si>
    <t>i5</t>
  </si>
  <si>
    <t>P4_A01</t>
  </si>
  <si>
    <t>ACTTCTGC</t>
  </si>
  <si>
    <t>AGTCCCGG</t>
  </si>
  <si>
    <t xml:space="preserve">Info for External Sequencing </t>
  </si>
  <si>
    <t>P4_B01</t>
  </si>
  <si>
    <t>TTAAGCAG</t>
  </si>
  <si>
    <t>TCCTGGAC</t>
  </si>
  <si>
    <t>Letter code: X/P/G/H/T</t>
  </si>
  <si>
    <t>T</t>
  </si>
  <si>
    <t>&lt;--Fill in for rename from email</t>
  </si>
  <si>
    <t>P4_C01</t>
  </si>
  <si>
    <t>ATCAAATC</t>
  </si>
  <si>
    <t>CTACATGA</t>
  </si>
  <si>
    <t>[Order number]_[projectID]</t>
  </si>
  <si>
    <t>P4_D01</t>
  </si>
  <si>
    <t>TTTGAGTC</t>
  </si>
  <si>
    <t>CCGGATAG</t>
  </si>
  <si>
    <t>Run: 10B / 25B / Shared</t>
  </si>
  <si>
    <t>fill in if you want it added to name</t>
  </si>
  <si>
    <t>P4_E01</t>
  </si>
  <si>
    <t>AAATCCTC</t>
  </si>
  <si>
    <t>AACCCGCC</t>
  </si>
  <si>
    <t>P4_F01</t>
  </si>
  <si>
    <t>TACAGATG</t>
  </si>
  <si>
    <t>CGAACGTG</t>
  </si>
  <si>
    <t>P4_G01</t>
  </si>
  <si>
    <t>TAAGCGCA</t>
  </si>
  <si>
    <t>CCGTAGAA</t>
  </si>
  <si>
    <t>P4_H01</t>
  </si>
  <si>
    <t>CAACGGAA</t>
  </si>
  <si>
    <t>CATCTACT</t>
  </si>
  <si>
    <r>
      <t xml:space="preserve">Fill in below for </t>
    </r>
    <r>
      <rPr>
        <b/>
        <sz val="11"/>
        <color theme="1"/>
        <rFont val="Calibri"/>
        <family val="2"/>
        <scheme val="minor"/>
      </rPr>
      <t>Novogene</t>
    </r>
  </si>
  <si>
    <t>Lane sequencing-With Demultiplexing</t>
  </si>
  <si>
    <t>P4_A02</t>
  </si>
  <si>
    <t>AGCCTGGA</t>
  </si>
  <si>
    <t>AGTCTGCT</t>
  </si>
  <si>
    <t>insert size</t>
  </si>
  <si>
    <t>[NovoGene Only]</t>
  </si>
  <si>
    <t>P4_B02</t>
  </si>
  <si>
    <t>GAGGACAG</t>
  </si>
  <si>
    <t>GCCGAATC</t>
  </si>
  <si>
    <t>Lib status</t>
  </si>
  <si>
    <t>Others</t>
  </si>
  <si>
    <t>P4_C02</t>
  </si>
  <si>
    <t>CTATCGAA</t>
  </si>
  <si>
    <t>ACTATGAT</t>
  </si>
  <si>
    <t>Data Amount: 375 or 950</t>
  </si>
  <si>
    <t>P4_D02</t>
  </si>
  <si>
    <t>TCACTAAC</t>
  </si>
  <si>
    <t>CCCTATCT</t>
  </si>
  <si>
    <t>G raw data</t>
  </si>
  <si>
    <t>P4_E02</t>
  </si>
  <si>
    <t>TCGATAAG</t>
  </si>
  <si>
    <t>CGTTGTCC</t>
  </si>
  <si>
    <t xml:space="preserve">Info needed to rename after sequecning </t>
  </si>
  <si>
    <t>P4_F02</t>
  </si>
  <si>
    <t>CTTTATTC</t>
  </si>
  <si>
    <t>TGGAACGG</t>
  </si>
  <si>
    <t>Flowcell ID-when data back</t>
  </si>
  <si>
    <t>WriteinFlowcellID_L7</t>
  </si>
  <si>
    <t>P4_G02</t>
  </si>
  <si>
    <t>CTGCCTTC</t>
  </si>
  <si>
    <t>CCCTTCGG</t>
  </si>
  <si>
    <t>P4_H02</t>
  </si>
  <si>
    <t>ACAACCAA</t>
  </si>
  <si>
    <t>TGTCCAAA</t>
  </si>
  <si>
    <t>P4_A03</t>
  </si>
  <si>
    <t>GCAATGGG</t>
  </si>
  <si>
    <t>AGTACAAG</t>
  </si>
  <si>
    <t>Rename files to 1,2,3 or leave alone?</t>
  </si>
  <si>
    <t>P4_B03</t>
  </si>
  <si>
    <t>CTGGACAC</t>
  </si>
  <si>
    <t>TACTGTGA</t>
  </si>
  <si>
    <t>No = do not rename samples</t>
  </si>
  <si>
    <t>P4_C03</t>
  </si>
  <si>
    <t>AAGTATGC</t>
  </si>
  <si>
    <t>CCGGAATT</t>
  </si>
  <si>
    <t>Yes = rename samples to 1,2,3</t>
  </si>
  <si>
    <t xml:space="preserve">Enter [No] above if you want to keep the names that are copy pasted into the "sample name" column. </t>
  </si>
  <si>
    <t>P4_D03</t>
  </si>
  <si>
    <t>TCCGATGG</t>
  </si>
  <si>
    <t>TCGCTCGG</t>
  </si>
  <si>
    <t>P4_E03</t>
  </si>
  <si>
    <t>GACAACGG</t>
  </si>
  <si>
    <t>AGTGCGGA</t>
  </si>
  <si>
    <t>P4_F03</t>
  </si>
  <si>
    <t>TAGCTTTA</t>
  </si>
  <si>
    <t>GCTTCACA</t>
  </si>
  <si>
    <t>P4_G03</t>
  </si>
  <si>
    <t>AAACAGTC</t>
  </si>
  <si>
    <t>CCGATCGT</t>
  </si>
  <si>
    <t>P4_H03</t>
  </si>
  <si>
    <t>ACCTCACT</t>
  </si>
  <si>
    <t>CCGTAAGC</t>
  </si>
  <si>
    <t>P4_A04</t>
  </si>
  <si>
    <t>GACATTAA</t>
  </si>
  <si>
    <t>AGTTGGAT</t>
  </si>
  <si>
    <t>P4_B04</t>
  </si>
  <si>
    <t>ATGTACGT</t>
  </si>
  <si>
    <t>TAACACGC</t>
  </si>
  <si>
    <t>P4_C04</t>
  </si>
  <si>
    <t>ATGACAAA</t>
  </si>
  <si>
    <t>AGACTCAC</t>
  </si>
  <si>
    <t>P4_D04</t>
  </si>
  <si>
    <t>CCACCTAC</t>
  </si>
  <si>
    <t>CAGAGTGT</t>
  </si>
  <si>
    <t>P4_E04</t>
  </si>
  <si>
    <t>TGCTGTTG</t>
  </si>
  <si>
    <t>ACATTACG</t>
  </si>
  <si>
    <t>P4_F04</t>
  </si>
  <si>
    <t>CATTTCAG</t>
  </si>
  <si>
    <t>ATTACTAC</t>
  </si>
  <si>
    <t>P4_G04</t>
  </si>
  <si>
    <t>CGTCCCTA</t>
  </si>
  <si>
    <t>TGGACCCT</t>
  </si>
  <si>
    <t>P4_H04</t>
  </si>
  <si>
    <t>TACGATTA</t>
  </si>
  <si>
    <t>CGCTTGCA</t>
  </si>
  <si>
    <t>P4_A05</t>
  </si>
  <si>
    <t>AAAGATCG</t>
  </si>
  <si>
    <t>GTTGCCTT</t>
  </si>
  <si>
    <t>P4_B05</t>
  </si>
  <si>
    <t>GTGAGCTA</t>
  </si>
  <si>
    <t>CCAATGAA</t>
  </si>
  <si>
    <t>P4_C05</t>
  </si>
  <si>
    <t>AACGCGGG</t>
  </si>
  <si>
    <t>ATCAGTTG</t>
  </si>
  <si>
    <t>P4_D05</t>
  </si>
  <si>
    <t>CTTGTGCT</t>
  </si>
  <si>
    <t>ACATACAC</t>
  </si>
  <si>
    <t>P4_E05</t>
  </si>
  <si>
    <t>GCTTACCC</t>
  </si>
  <si>
    <t>CTCCATAT</t>
  </si>
  <si>
    <t>P4_F05</t>
  </si>
  <si>
    <t>AGTAAACA</t>
  </si>
  <si>
    <t>GCTTAAGT</t>
  </si>
  <si>
    <t>P4_G05</t>
  </si>
  <si>
    <t>CGATGTAA</t>
  </si>
  <si>
    <t>ACACGTAT</t>
  </si>
  <si>
    <t>P4_H05</t>
  </si>
  <si>
    <t>CCTAGTCG</t>
  </si>
  <si>
    <t>CAAGAAGT</t>
  </si>
  <si>
    <t>P4_A06</t>
  </si>
  <si>
    <t>AGTAGTAA</t>
  </si>
  <si>
    <t>TATCAGTA</t>
  </si>
  <si>
    <t>P4_B06</t>
  </si>
  <si>
    <t>TACTAAGG</t>
  </si>
  <si>
    <t>CGAGTCAG</t>
  </si>
  <si>
    <t>P4_C06</t>
  </si>
  <si>
    <t>CATTCGGA</t>
  </si>
  <si>
    <t>TTTCCATC</t>
  </si>
  <si>
    <t>P4_D06</t>
  </si>
  <si>
    <t>AATCGTCA</t>
  </si>
  <si>
    <t>CTTTAACT</t>
  </si>
  <si>
    <t>P4_E06</t>
  </si>
  <si>
    <t>GCTGATTT</t>
  </si>
  <si>
    <t>GCCTCTAT</t>
  </si>
  <si>
    <t>P4_F06</t>
  </si>
  <si>
    <t>CGCGAAAG</t>
  </si>
  <si>
    <t>CCTCCTTT</t>
  </si>
  <si>
    <t>P4_G06</t>
  </si>
  <si>
    <t>TTGCCACT</t>
  </si>
  <si>
    <t>CAGTTCCC</t>
  </si>
  <si>
    <t>P4_H06</t>
  </si>
  <si>
    <t>TTCGTGGA</t>
  </si>
  <si>
    <t>TACCTTGT</t>
  </si>
  <si>
    <t>P4_A07</t>
  </si>
  <si>
    <t>P4_B07</t>
  </si>
  <si>
    <t>P4_C07</t>
  </si>
  <si>
    <t>P4_D07</t>
  </si>
  <si>
    <t>P4_E07</t>
  </si>
  <si>
    <t>P4_F07</t>
  </si>
  <si>
    <t>P4_G07</t>
  </si>
  <si>
    <t>P4_H07</t>
  </si>
  <si>
    <t>P4_A08</t>
  </si>
  <si>
    <t>P4_B08</t>
  </si>
  <si>
    <t>P4_C08</t>
  </si>
  <si>
    <t>P4_D08</t>
  </si>
  <si>
    <t>P4_E08</t>
  </si>
  <si>
    <t>P4_F08</t>
  </si>
  <si>
    <t>P4_G08</t>
  </si>
  <si>
    <t>P4_H08</t>
  </si>
  <si>
    <t>P4_A09</t>
  </si>
  <si>
    <t>P4_B09</t>
  </si>
  <si>
    <t>P4_C09</t>
  </si>
  <si>
    <t>P4_D09</t>
  </si>
  <si>
    <t>P4_E09</t>
  </si>
  <si>
    <t>P4_F09</t>
  </si>
  <si>
    <t>P4_G09</t>
  </si>
  <si>
    <t>P4_H09</t>
  </si>
  <si>
    <t>P4_A10</t>
  </si>
  <si>
    <t>P4_B10</t>
  </si>
  <si>
    <t>P4_C10</t>
  </si>
  <si>
    <t>P4_D10</t>
  </si>
  <si>
    <t>P4_E10</t>
  </si>
  <si>
    <t>P4_F10</t>
  </si>
  <si>
    <t>P4_G10</t>
  </si>
  <si>
    <t>P4_H10</t>
  </si>
  <si>
    <t>P4_A11</t>
  </si>
  <si>
    <t>P4_B11</t>
  </si>
  <si>
    <t>P4_C11</t>
  </si>
  <si>
    <t>P4_D11</t>
  </si>
  <si>
    <t>P4_E11</t>
  </si>
  <si>
    <t>P4_F11</t>
  </si>
  <si>
    <t>P4_G11</t>
  </si>
  <si>
    <t>P4_H11</t>
  </si>
  <si>
    <t>P4_A12</t>
  </si>
  <si>
    <t>P4_B12</t>
  </si>
  <si>
    <t>P4_C12</t>
  </si>
  <si>
    <t>P4_D12</t>
  </si>
  <si>
    <t>P4_E12</t>
  </si>
  <si>
    <t>P4_F12</t>
  </si>
  <si>
    <t>P4_G12</t>
  </si>
  <si>
    <t>P4_H12</t>
  </si>
  <si>
    <t>P1_A01</t>
  </si>
  <si>
    <t>TTACCGAC</t>
  </si>
  <si>
    <t>CGAATACG</t>
  </si>
  <si>
    <t>P1_B01</t>
  </si>
  <si>
    <t>TCGTCTGA</t>
  </si>
  <si>
    <t>GTCCTTGA</t>
  </si>
  <si>
    <t>P1_C01</t>
  </si>
  <si>
    <t>TTCCAGGT</t>
  </si>
  <si>
    <t>CAGTGCTT</t>
  </si>
  <si>
    <t>P1_D01</t>
  </si>
  <si>
    <t>TACGGTCT</t>
  </si>
  <si>
    <t>TCCATTGC</t>
  </si>
  <si>
    <t>P1_E01</t>
  </si>
  <si>
    <t>AAGACCGT</t>
  </si>
  <si>
    <t>GTCGATTG</t>
  </si>
  <si>
    <t>P1_F01</t>
  </si>
  <si>
    <t>CAGGTTCA</t>
  </si>
  <si>
    <t>ATAACGCC</t>
  </si>
  <si>
    <t>P1_G01</t>
  </si>
  <si>
    <t>TAGGAGCT</t>
  </si>
  <si>
    <t>GCCTTAAC</t>
  </si>
  <si>
    <t>P1_H01</t>
  </si>
  <si>
    <t>TACTCCAG</t>
  </si>
  <si>
    <t>GGTATAGG</t>
  </si>
  <si>
    <t>P1_A02</t>
  </si>
  <si>
    <t>AGTGACCT</t>
  </si>
  <si>
    <t>TCTAGGAG</t>
  </si>
  <si>
    <t>P1_B02</t>
  </si>
  <si>
    <t>AGCCTATC</t>
  </si>
  <si>
    <t>TGCGTAAC</t>
  </si>
  <si>
    <t>P1_C02</t>
  </si>
  <si>
    <t>TCATCTCC</t>
  </si>
  <si>
    <t>CTTGCTAG</t>
  </si>
  <si>
    <t>P1_D02</t>
  </si>
  <si>
    <t>CCAGTATC</t>
  </si>
  <si>
    <t>AGCGAGAT</t>
  </si>
  <si>
    <t>P1_E02</t>
  </si>
  <si>
    <t>TTGCGAGA</t>
  </si>
  <si>
    <t>TATGGCAC</t>
  </si>
  <si>
    <t>P1_F02</t>
  </si>
  <si>
    <t>GAACGAAG</t>
  </si>
  <si>
    <t>GAATCACC</t>
  </si>
  <si>
    <t>P1_G02</t>
  </si>
  <si>
    <t>CGAATTGC</t>
  </si>
  <si>
    <t>GTAAGGTG</t>
  </si>
  <si>
    <t>P1_H02</t>
  </si>
  <si>
    <t>GGAAGAGA</t>
  </si>
  <si>
    <t>CGAGAGAA</t>
  </si>
  <si>
    <t>P1_A03</t>
  </si>
  <si>
    <t>TCGGATTC</t>
  </si>
  <si>
    <t>CGCAACTA</t>
  </si>
  <si>
    <t>P1_B03</t>
  </si>
  <si>
    <t>CTGTACCA</t>
  </si>
  <si>
    <t>CACAGACT</t>
  </si>
  <si>
    <t>P1_C03</t>
  </si>
  <si>
    <t>GAGAGTAC</t>
  </si>
  <si>
    <t>TGGAAGCA</t>
  </si>
  <si>
    <t>P1_D03</t>
  </si>
  <si>
    <t>TCTACGCA</t>
  </si>
  <si>
    <t>CAATAGCC</t>
  </si>
  <si>
    <t>P1_E03</t>
  </si>
  <si>
    <t>GCAATTCC</t>
  </si>
  <si>
    <t>CTCGAACA</t>
  </si>
  <si>
    <t>P1_F03</t>
  </si>
  <si>
    <t>CTCAGAAG</t>
  </si>
  <si>
    <t>GGCAAGTT</t>
  </si>
  <si>
    <t>P1_G03</t>
  </si>
  <si>
    <t>GTCCTAAG</t>
  </si>
  <si>
    <t>AGCTACCA</t>
  </si>
  <si>
    <t>P1_H03</t>
  </si>
  <si>
    <t>GCGTTAGA</t>
  </si>
  <si>
    <t>CAGCATAC</t>
  </si>
  <si>
    <t>P1_A04</t>
  </si>
  <si>
    <t>CAAGGTAC</t>
  </si>
  <si>
    <t>CGTATCTC</t>
  </si>
  <si>
    <t>P1_B04</t>
  </si>
  <si>
    <t>AGACCTTG</t>
  </si>
  <si>
    <t>TTACGTGC</t>
  </si>
  <si>
    <t>P1_C04</t>
  </si>
  <si>
    <t>GTCGTTAC</t>
  </si>
  <si>
    <t>AGCTAAGC</t>
  </si>
  <si>
    <t>P1_D04</t>
  </si>
  <si>
    <t>GTAACCGA</t>
  </si>
  <si>
    <t>AAGACACC</t>
  </si>
  <si>
    <t>P1_E04</t>
  </si>
  <si>
    <t>GAATCCGT</t>
  </si>
  <si>
    <t>CAACTCCA</t>
  </si>
  <si>
    <t>P1_F04</t>
  </si>
  <si>
    <t>CATGAGCA</t>
  </si>
  <si>
    <t>GATCTTGC</t>
  </si>
  <si>
    <t>P1_G04</t>
  </si>
  <si>
    <t>CTTAGGAC</t>
  </si>
  <si>
    <t>CTTCACTG</t>
  </si>
  <si>
    <t>P1_H04</t>
  </si>
  <si>
    <t>ATCTGACC</t>
  </si>
  <si>
    <t>CTCGACTT</t>
  </si>
  <si>
    <t>P1_A05</t>
  </si>
  <si>
    <t>TCCTCATG</t>
  </si>
  <si>
    <t>GTACACCT</t>
  </si>
  <si>
    <t>P1_B05</t>
  </si>
  <si>
    <t>AGGATAGC</t>
  </si>
  <si>
    <t>CCAAGGTT</t>
  </si>
  <si>
    <t>P1_C05</t>
  </si>
  <si>
    <t>GGAGGAAT</t>
  </si>
  <si>
    <t>GAACGGTT</t>
  </si>
  <si>
    <t>P1_D05</t>
  </si>
  <si>
    <t>GACGTCAT</t>
  </si>
  <si>
    <t>CCAGTTGA</t>
  </si>
  <si>
    <t>P1_E05</t>
  </si>
  <si>
    <t>CCGCTTAA</t>
  </si>
  <si>
    <t>GTCATCGT</t>
  </si>
  <si>
    <t>P1_F05</t>
  </si>
  <si>
    <t>GACGAACT</t>
  </si>
  <si>
    <t>CAATGCGA</t>
  </si>
  <si>
    <t>P1_G05</t>
  </si>
  <si>
    <t>TCCACGTT</t>
  </si>
  <si>
    <t>GGTTGAAC</t>
  </si>
  <si>
    <t>P1_H05</t>
  </si>
  <si>
    <t>AACCAGAG</t>
  </si>
  <si>
    <t>CTTCGGTT</t>
  </si>
  <si>
    <t>P1_A06</t>
  </si>
  <si>
    <t>GTCAGTCA</t>
  </si>
  <si>
    <t>CGGCATTA</t>
  </si>
  <si>
    <t>P1_B06</t>
  </si>
  <si>
    <t>CCTTCCAT</t>
  </si>
  <si>
    <t>CACGCAAT</t>
  </si>
  <si>
    <t>P1_C06</t>
  </si>
  <si>
    <t>AGGAACAC</t>
  </si>
  <si>
    <t>GGAATGTC</t>
  </si>
  <si>
    <t>P1_D06</t>
  </si>
  <si>
    <t>CTTACAGC</t>
  </si>
  <si>
    <t>TGGTGAAG</t>
  </si>
  <si>
    <t>P1_E06</t>
  </si>
  <si>
    <t>TACCTGCA</t>
  </si>
  <si>
    <t>GGACATCA</t>
  </si>
  <si>
    <t>P1_F06</t>
  </si>
  <si>
    <t>AGACGCTA</t>
  </si>
  <si>
    <t>GGTGTACA</t>
  </si>
  <si>
    <t>P1_G06</t>
  </si>
  <si>
    <t>CAACACAG</t>
  </si>
  <si>
    <t>GATAGCCA</t>
  </si>
  <si>
    <t>P1_H06</t>
  </si>
  <si>
    <t>GTACCACA</t>
  </si>
  <si>
    <t>CCACAACA</t>
  </si>
  <si>
    <t>P1_A07</t>
  </si>
  <si>
    <t>P1_B07</t>
  </si>
  <si>
    <t>P1_C07</t>
  </si>
  <si>
    <t>P1_D07</t>
  </si>
  <si>
    <t>P1_E07</t>
  </si>
  <si>
    <t>P1_F07</t>
  </si>
  <si>
    <t>P1_G07</t>
  </si>
  <si>
    <t>P1_H07</t>
  </si>
  <si>
    <t>P1_A08</t>
  </si>
  <si>
    <t>P1_B08</t>
  </si>
  <si>
    <t>P1_C08</t>
  </si>
  <si>
    <t>P1_D08</t>
  </si>
  <si>
    <t>P1_E08</t>
  </si>
  <si>
    <t>P1_F08</t>
  </si>
  <si>
    <t>P1_G08</t>
  </si>
  <si>
    <t>P1_H08</t>
  </si>
  <si>
    <t>P1_A09</t>
  </si>
  <si>
    <t>P1_B09</t>
  </si>
  <si>
    <t>P1_C09</t>
  </si>
  <si>
    <t>P1_D09</t>
  </si>
  <si>
    <t>P1_E09</t>
  </si>
  <si>
    <t>P1_F09</t>
  </si>
  <si>
    <t>P1_G09</t>
  </si>
  <si>
    <t>P1_H09</t>
  </si>
  <si>
    <t>P1_A10</t>
  </si>
  <si>
    <t>P1_B10</t>
  </si>
  <si>
    <t>P1_C10</t>
  </si>
  <si>
    <t>P1_D10</t>
  </si>
  <si>
    <t>P1_E10</t>
  </si>
  <si>
    <t>P1_F10</t>
  </si>
  <si>
    <t>P1_G10</t>
  </si>
  <si>
    <t>P1_H10</t>
  </si>
  <si>
    <t>P1_A11</t>
  </si>
  <si>
    <t>P1_B11</t>
  </si>
  <si>
    <t>P1_C11</t>
  </si>
  <si>
    <t>P1_D11</t>
  </si>
  <si>
    <t>P1_E11</t>
  </si>
  <si>
    <t>P1_F11</t>
  </si>
  <si>
    <t>P1_G11</t>
  </si>
  <si>
    <t>P1_H11</t>
  </si>
  <si>
    <t>P1_A12</t>
  </si>
  <si>
    <t>P1_B12</t>
  </si>
  <si>
    <t>P1_C12</t>
  </si>
  <si>
    <t>P1_D12</t>
  </si>
  <si>
    <t>P1_E12</t>
  </si>
  <si>
    <t>P1_F12</t>
  </si>
  <si>
    <t>P1_G12</t>
  </si>
  <si>
    <t>P1_H12</t>
  </si>
  <si>
    <t>NEB Next Ultra II Directional RNA</t>
  </si>
  <si>
    <t>Needs final bead clean?</t>
  </si>
  <si>
    <t>x ratio</t>
  </si>
  <si>
    <t>ul beads</t>
  </si>
  <si>
    <t>final elution vol</t>
  </si>
  <si>
    <t>final Qubit</t>
  </si>
  <si>
    <t>add beads</t>
  </si>
  <si>
    <t>ul tot vol</t>
  </si>
  <si>
    <t>adj lib nM</t>
  </si>
  <si>
    <t>total nM</t>
  </si>
  <si>
    <t>total ng/ul</t>
  </si>
  <si>
    <t>UDI: Plate_Well</t>
  </si>
  <si>
    <t>notes</t>
  </si>
  <si>
    <t>expected Qubit (no loss)</t>
  </si>
  <si>
    <t>est nM (no loss)</t>
  </si>
  <si>
    <t>pooling sheets end here -- add more rows/copy formulas down in Final Pool and Prepool sheets if there are more libraries to add</t>
  </si>
  <si>
    <t>Plate_well</t>
  </si>
  <si>
    <t>index1: i7 FOR</t>
  </si>
  <si>
    <t>index1: i5 FOR (worflow a)</t>
  </si>
  <si>
    <t>index1: i5 REV (worflow b)</t>
  </si>
  <si>
    <t>BRC1_A01</t>
  </si>
  <si>
    <t>CTCACCAT</t>
  </si>
  <si>
    <t>TATGCCGG</t>
  </si>
  <si>
    <t>CCGGCATA</t>
  </si>
  <si>
    <t>BRC1_B01</t>
  </si>
  <si>
    <t>GCATGATC</t>
  </si>
  <si>
    <t>GTGTGGAG</t>
  </si>
  <si>
    <t>CTCCACAC</t>
  </si>
  <si>
    <t>BRC1_C01</t>
  </si>
  <si>
    <t>TGATGTCC</t>
  </si>
  <si>
    <t>BRC1_D01</t>
  </si>
  <si>
    <t>AGAGACGG</t>
  </si>
  <si>
    <t>GCGGGATA</t>
  </si>
  <si>
    <t>TATCCCGC</t>
  </si>
  <si>
    <t>BRC1_E01</t>
  </si>
  <si>
    <t>GAGCAACA</t>
  </si>
  <si>
    <t>GTAGATGC</t>
  </si>
  <si>
    <t>GCATCTAC</t>
  </si>
  <si>
    <t>BRC1_F01</t>
  </si>
  <si>
    <t>CAAATTCT</t>
  </si>
  <si>
    <t>AATGTTGG</t>
  </si>
  <si>
    <t>CCAACATT</t>
  </si>
  <si>
    <t>BRC1_G01</t>
  </si>
  <si>
    <t>CTTCACCA</t>
  </si>
  <si>
    <t>BRC1_H01</t>
  </si>
  <si>
    <t>GCCCGTCT</t>
  </si>
  <si>
    <t>GCAACAGC</t>
  </si>
  <si>
    <t>GCTGTTGC</t>
  </si>
  <si>
    <t>BRC1_A02</t>
  </si>
  <si>
    <t>CTCTTGAT</t>
  </si>
  <si>
    <t>AGAAGTGG</t>
  </si>
  <si>
    <t>CCACTTCT</t>
  </si>
  <si>
    <t>BRC1_B02</t>
  </si>
  <si>
    <t>TATACCTC</t>
  </si>
  <si>
    <t>TAGTCACA</t>
  </si>
  <si>
    <t>TGTGACTA</t>
  </si>
  <si>
    <t>BRC1_C02</t>
  </si>
  <si>
    <t>GAACCTCT</t>
  </si>
  <si>
    <t>GCGCAGAC</t>
  </si>
  <si>
    <t>GTCTGCGC</t>
  </si>
  <si>
    <t>BRC1_D02</t>
  </si>
  <si>
    <t>AAGTCGAG</t>
  </si>
  <si>
    <t>BRC1_E02</t>
  </si>
  <si>
    <t>AGGTGTAC</t>
  </si>
  <si>
    <t>BRC1_F02</t>
  </si>
  <si>
    <t>CCGAGCAC</t>
  </si>
  <si>
    <t>CAGACGAC</t>
  </si>
  <si>
    <t>GTCGTCTG</t>
  </si>
  <si>
    <t>BRC1_G02</t>
  </si>
  <si>
    <t>CACCTTAC</t>
  </si>
  <si>
    <t>BRC1_H02</t>
  </si>
  <si>
    <t>GCCCAGTG</t>
  </si>
  <si>
    <t>AATTGCGG</t>
  </si>
  <si>
    <t>CCGCAATT</t>
  </si>
  <si>
    <t>BRC1_A03</t>
  </si>
  <si>
    <t>GCCAGATT</t>
  </si>
  <si>
    <t>GCTGAGAA</t>
  </si>
  <si>
    <t>TTCTCAGC</t>
  </si>
  <si>
    <t>BRC1_B03</t>
  </si>
  <si>
    <t>CTGTTTAC</t>
  </si>
  <si>
    <t>TGAATCTT</t>
  </si>
  <si>
    <t>AAGATTCA</t>
  </si>
  <si>
    <t>BRC1_C03</t>
  </si>
  <si>
    <t>BRC1_D03</t>
  </si>
  <si>
    <t>TAGACGGG</t>
  </si>
  <si>
    <t>TGGGAGTG</t>
  </si>
  <si>
    <t>CACTCCCA</t>
  </si>
  <si>
    <t>BRC1_E03</t>
  </si>
  <si>
    <t>GCAAGATC</t>
  </si>
  <si>
    <t>BRC1_F03</t>
  </si>
  <si>
    <t>AGAGCTGC</t>
  </si>
  <si>
    <t>GTTGAAGG</t>
  </si>
  <si>
    <t>CCTTCAAC</t>
  </si>
  <si>
    <t>BRC1_G03</t>
  </si>
  <si>
    <t>CGTATTCG</t>
  </si>
  <si>
    <t>BRC1_H03</t>
  </si>
  <si>
    <t>GCTCCCTG</t>
  </si>
  <si>
    <t>GCAAATGT</t>
  </si>
  <si>
    <t>ACATTTGC</t>
  </si>
  <si>
    <t>BRC1_A04</t>
  </si>
  <si>
    <t>CTTCGACC</t>
  </si>
  <si>
    <t>GTTACTGT</t>
  </si>
  <si>
    <t>ACAGTAAC</t>
  </si>
  <si>
    <t>BRC1_B04</t>
  </si>
  <si>
    <t>GACGCTCG</t>
  </si>
  <si>
    <t>CGGAGAGG</t>
  </si>
  <si>
    <t>CCTCTCCG</t>
  </si>
  <si>
    <t>BRC1_C04</t>
  </si>
  <si>
    <t>AGTTCGTC</t>
  </si>
  <si>
    <t>BRC1_D04</t>
  </si>
  <si>
    <t>TGAACCTG</t>
  </si>
  <si>
    <t>BRC1_E04</t>
  </si>
  <si>
    <t>GTCAAGCG</t>
  </si>
  <si>
    <t>ATTTGAAG</t>
  </si>
  <si>
    <t>CTTCAAAT</t>
  </si>
  <si>
    <t>BRC1_F04</t>
  </si>
  <si>
    <t>GAGGTATA</t>
  </si>
  <si>
    <t>BRC1_G04</t>
  </si>
  <si>
    <t>GTACCTTG</t>
  </si>
  <si>
    <t>BRC1_H04</t>
  </si>
  <si>
    <t>CCACACTT</t>
  </si>
  <si>
    <t>GTATGACG</t>
  </si>
  <si>
    <t>CGTCATAC</t>
  </si>
  <si>
    <t>BRC1_A05</t>
  </si>
  <si>
    <t>TTCTTCCT</t>
  </si>
  <si>
    <t>GTGCTCTG</t>
  </si>
  <si>
    <t>CAGAGCAC</t>
  </si>
  <si>
    <t>BRC1_B05</t>
  </si>
  <si>
    <t>CGGACGGA</t>
  </si>
  <si>
    <t>GAAGAGGG</t>
  </si>
  <si>
    <t>CCCTCTTC</t>
  </si>
  <si>
    <t>BRC1_C05</t>
  </si>
  <si>
    <t>AACCCTAT</t>
  </si>
  <si>
    <t>GCCATGTA</t>
  </si>
  <si>
    <t>TACATGGC</t>
  </si>
  <si>
    <t>BRC1_D05</t>
  </si>
  <si>
    <t>CCGTCTCT</t>
  </si>
  <si>
    <t>BRC1_E05</t>
  </si>
  <si>
    <t>TGTCCTCT</t>
  </si>
  <si>
    <t>GTTCGTCG</t>
  </si>
  <si>
    <t>CGACGAAC</t>
  </si>
  <si>
    <t>BRC1_F05</t>
  </si>
  <si>
    <t>ACAGGAAA</t>
  </si>
  <si>
    <t>TAGACAAT</t>
  </si>
  <si>
    <t>ATTGTCTA</t>
  </si>
  <si>
    <t>BRC1_G05</t>
  </si>
  <si>
    <t>AGACCGTA</t>
  </si>
  <si>
    <t>BRC1_H05</t>
  </si>
  <si>
    <t>ATGTCTTA</t>
  </si>
  <si>
    <t>ATAGCAGA</t>
  </si>
  <si>
    <t>TCTGCTAT</t>
  </si>
  <si>
    <t>BRC1_A06</t>
  </si>
  <si>
    <t>CACCTAAA</t>
  </si>
  <si>
    <t>GTACCTGG</t>
  </si>
  <si>
    <t>CCAGGTAC</t>
  </si>
  <si>
    <t>BRC1_B06</t>
  </si>
  <si>
    <t>TTGTGCCC</t>
  </si>
  <si>
    <t>GATGGAAA</t>
  </si>
  <si>
    <t>BRC1_C06</t>
  </si>
  <si>
    <t>GCAACTTG</t>
  </si>
  <si>
    <t>GAGCACTC</t>
  </si>
  <si>
    <t>GAGTGCTC</t>
  </si>
  <si>
    <t>BRC1_D06</t>
  </si>
  <si>
    <t>CGTCCGAC</t>
  </si>
  <si>
    <t>GTTGTGTG</t>
  </si>
  <si>
    <t>CACACAAC</t>
  </si>
  <si>
    <t>BRC1_E06</t>
  </si>
  <si>
    <t>ATTCGCAT</t>
  </si>
  <si>
    <t>TTAGCTAT</t>
  </si>
  <si>
    <t>ATAGCTAA</t>
  </si>
  <si>
    <t>BRC1_F06</t>
  </si>
  <si>
    <t>TTCGCTCA</t>
  </si>
  <si>
    <t>ACTTGCCA</t>
  </si>
  <si>
    <t>TGGCAAGT</t>
  </si>
  <si>
    <t>BRC1_G06</t>
  </si>
  <si>
    <t>CCTATACC</t>
  </si>
  <si>
    <t>BRC1_H06</t>
  </si>
  <si>
    <t>ATGCTCCC</t>
  </si>
  <si>
    <t>CAGCAGGG</t>
  </si>
  <si>
    <t>CCCTGCTG</t>
  </si>
  <si>
    <t>BRC1_A07</t>
  </si>
  <si>
    <t>GTAAACAG</t>
  </si>
  <si>
    <t>BRC1_B07</t>
  </si>
  <si>
    <t>GCTCAATA</t>
  </si>
  <si>
    <t>GATAAATG</t>
  </si>
  <si>
    <t>CATTTATC</t>
  </si>
  <si>
    <t>BRC1_C07</t>
  </si>
  <si>
    <t>ATTGCGTG</t>
  </si>
  <si>
    <t>BRC1_D07</t>
  </si>
  <si>
    <t>TCTCTTCC</t>
  </si>
  <si>
    <t>BRC1_E07</t>
  </si>
  <si>
    <t>TGCTTCCA</t>
  </si>
  <si>
    <t>BRC1_F07</t>
  </si>
  <si>
    <t>CCCTCGTA</t>
  </si>
  <si>
    <t>CTCTTCTA</t>
  </si>
  <si>
    <t>TAGAAGAG</t>
  </si>
  <si>
    <t>BRC1_G07</t>
  </si>
  <si>
    <t>ACCTGCTT</t>
  </si>
  <si>
    <t>GATCCGGG</t>
  </si>
  <si>
    <t>CCCGGATC</t>
  </si>
  <si>
    <t>BRC1_H07</t>
  </si>
  <si>
    <t>TTTCCTGT</t>
  </si>
  <si>
    <t>BRC1_A08</t>
  </si>
  <si>
    <t>ACTCTTAG</t>
  </si>
  <si>
    <t>CGTGGATT</t>
  </si>
  <si>
    <t>AATCCACG</t>
  </si>
  <si>
    <t>BRC1_B08</t>
  </si>
  <si>
    <t>TACAAGTC</t>
  </si>
  <si>
    <t>GAAGTGAA</t>
  </si>
  <si>
    <t>TTCACTTC</t>
  </si>
  <si>
    <t>BRC1_C08</t>
  </si>
  <si>
    <t>ACCTGGAA</t>
  </si>
  <si>
    <t>BRC1_D08</t>
  </si>
  <si>
    <t>TAAGACAT</t>
  </si>
  <si>
    <t>BRC1_E08</t>
  </si>
  <si>
    <t>TGGCTATC</t>
  </si>
  <si>
    <t>BRC1_F08</t>
  </si>
  <si>
    <t>GTGACGTT</t>
  </si>
  <si>
    <t>ATCTGGGA</t>
  </si>
  <si>
    <t>TCCCAGAT</t>
  </si>
  <si>
    <t>BRC1_G08</t>
  </si>
  <si>
    <t>TACGTCCC</t>
  </si>
  <si>
    <t>CGATATGG</t>
  </si>
  <si>
    <t>CCATATCG</t>
  </si>
  <si>
    <t>BRC1_H08</t>
  </si>
  <si>
    <t>AACGTCAC</t>
  </si>
  <si>
    <t>BRC1_A09</t>
  </si>
  <si>
    <t>CTCCTCAC</t>
  </si>
  <si>
    <t>ATCGGATA</t>
  </si>
  <si>
    <t>TATCCGAT</t>
  </si>
  <si>
    <t>BRC1_B09</t>
  </si>
  <si>
    <t>TCACGCCT</t>
  </si>
  <si>
    <t>GAGATGAT</t>
  </si>
  <si>
    <t>ATCATCTC</t>
  </si>
  <si>
    <t>BRC1_C09</t>
  </si>
  <si>
    <t>CCTACGGG</t>
  </si>
  <si>
    <t>TGACAGCT</t>
  </si>
  <si>
    <t>AGCTGTCA</t>
  </si>
  <si>
    <t>BRC1_D09</t>
  </si>
  <si>
    <t>CTAGCTCC</t>
  </si>
  <si>
    <t>CCTTGTGA</t>
  </si>
  <si>
    <t>TCACAAGG</t>
  </si>
  <si>
    <t>BRC1_E09</t>
  </si>
  <si>
    <t>AAGCACTG</t>
  </si>
  <si>
    <t>BRC1_F09</t>
  </si>
  <si>
    <t>CAATCGAC</t>
  </si>
  <si>
    <t>BRC1_G09</t>
  </si>
  <si>
    <t>CTTCGTTC</t>
  </si>
  <si>
    <t>BRC1_H09</t>
  </si>
  <si>
    <t>BRC1_A10</t>
  </si>
  <si>
    <t>CTGCCAAG</t>
  </si>
  <si>
    <t>TATATGGA</t>
  </si>
  <si>
    <t>TCCATATA</t>
  </si>
  <si>
    <t>BRC1_B10</t>
  </si>
  <si>
    <t>TATTGTTC</t>
  </si>
  <si>
    <t>GTGTGTTT</t>
  </si>
  <si>
    <t>AAACACAC</t>
  </si>
  <si>
    <t>BRC1_C10</t>
  </si>
  <si>
    <t>ATCTCGCT</t>
  </si>
  <si>
    <t>BRC1_D10</t>
  </si>
  <si>
    <t>GTTAACAT</t>
  </si>
  <si>
    <t>ACGCCGCA</t>
  </si>
  <si>
    <t>TGCGGCGT</t>
  </si>
  <si>
    <t>BRC1_E10</t>
  </si>
  <si>
    <t>AACTTGCC</t>
  </si>
  <si>
    <t>BRC1_F10</t>
  </si>
  <si>
    <t>TCAACTGG</t>
  </si>
  <si>
    <t>BRC1_G10</t>
  </si>
  <si>
    <t>TACCGCTC</t>
  </si>
  <si>
    <t>CAGTGACG</t>
  </si>
  <si>
    <t>CGTCACTG</t>
  </si>
  <si>
    <t>BRC1_H10</t>
  </si>
  <si>
    <t>ATGTTAAC</t>
  </si>
  <si>
    <t>BRC1_A11</t>
  </si>
  <si>
    <t>ACACCACC</t>
  </si>
  <si>
    <t>AATACGCT</t>
  </si>
  <si>
    <t>AGCGTATT</t>
  </si>
  <si>
    <t>BRC1_B11</t>
  </si>
  <si>
    <t>TCTCGCAA</t>
  </si>
  <si>
    <t>BRC1_C11</t>
  </si>
  <si>
    <t>ATTCCTCC</t>
  </si>
  <si>
    <t>BRC1_D11</t>
  </si>
  <si>
    <t>TACGAGGG</t>
  </si>
  <si>
    <t>BRC1_E11</t>
  </si>
  <si>
    <t>ATGACGTC</t>
  </si>
  <si>
    <t>BRC1_F11</t>
  </si>
  <si>
    <t>AACCGAAC</t>
  </si>
  <si>
    <t>CTGGAGTA</t>
  </si>
  <si>
    <t>BRC1_G11</t>
  </si>
  <si>
    <t>GTTCAACC</t>
  </si>
  <si>
    <t>BRC1_H11</t>
  </si>
  <si>
    <t>CAAGTTGC</t>
  </si>
  <si>
    <t>BRC1_A12</t>
  </si>
  <si>
    <t>CATACTTA</t>
  </si>
  <si>
    <t>GCACGGGA</t>
  </si>
  <si>
    <t>TCCCGTGC</t>
  </si>
  <si>
    <t>BRC1_B12</t>
  </si>
  <si>
    <t>AGCTCCTA</t>
  </si>
  <si>
    <t>BRC1_C12</t>
  </si>
  <si>
    <t>GCTATCCT</t>
  </si>
  <si>
    <t>BRC1_D12</t>
  </si>
  <si>
    <t>GATTACAA</t>
  </si>
  <si>
    <t>CTGTCCGG</t>
  </si>
  <si>
    <t>CCGGACAG</t>
  </si>
  <si>
    <t>BRC1_E12</t>
  </si>
  <si>
    <t>CACTGGGC</t>
  </si>
  <si>
    <t>BRC1_F12</t>
  </si>
  <si>
    <t>CGAACCAC</t>
  </si>
  <si>
    <t>AAGATTGA</t>
  </si>
  <si>
    <t>TCAATCTT</t>
  </si>
  <si>
    <t>BRC1_G12</t>
  </si>
  <si>
    <t>CTAGCAAG</t>
  </si>
  <si>
    <t>BRC1_H12</t>
  </si>
  <si>
    <t>GTTCTGCA</t>
  </si>
  <si>
    <t>GAAGGAGC</t>
  </si>
  <si>
    <t>GCTCCTTC</t>
  </si>
  <si>
    <t>CCGGGACT</t>
  </si>
  <si>
    <t>GTCCAGGA</t>
  </si>
  <si>
    <t>TCATGTAG</t>
  </si>
  <si>
    <t>CTATCCGG</t>
  </si>
  <si>
    <t>GGCGGGTT</t>
  </si>
  <si>
    <t>CACGTTCG</t>
  </si>
  <si>
    <t>TTCTACGG</t>
  </si>
  <si>
    <t>AGTAGATG</t>
  </si>
  <si>
    <t>AGCAGACT</t>
  </si>
  <si>
    <t>GATTCGGC</t>
  </si>
  <si>
    <t>ATCATAGT</t>
  </si>
  <si>
    <t>AGATAGGG</t>
  </si>
  <si>
    <t>GGACAACG</t>
  </si>
  <si>
    <t>CCGTTCCA</t>
  </si>
  <si>
    <t>CCGAAGGG</t>
  </si>
  <si>
    <t>TTTGGACA</t>
  </si>
  <si>
    <t>CTTGTACT</t>
  </si>
  <si>
    <t>TCACAGTA</t>
  </si>
  <si>
    <t>AATTCCGG</t>
  </si>
  <si>
    <t>CCGAGCGA</t>
  </si>
  <si>
    <t>TCCGCACT</t>
  </si>
  <si>
    <t>TGTGAAGC</t>
  </si>
  <si>
    <t>ACGATCGG</t>
  </si>
  <si>
    <t>GCTTACGG</t>
  </si>
  <si>
    <t>ATCCAACT</t>
  </si>
  <si>
    <t>GCGTGTTA</t>
  </si>
  <si>
    <t>GTGAGTCT</t>
  </si>
  <si>
    <t>ACACTCTG</t>
  </si>
  <si>
    <t>CGTAATGT</t>
  </si>
  <si>
    <t>GTAGTAAT</t>
  </si>
  <si>
    <t>AGGGTCCA</t>
  </si>
  <si>
    <t>TGCAAGCG</t>
  </si>
  <si>
    <t>AAGGCAAC</t>
  </si>
  <si>
    <t>TTCATTGG</t>
  </si>
  <si>
    <t>CAACTGAT</t>
  </si>
  <si>
    <t>GTGTATGT</t>
  </si>
  <si>
    <t>ATATGGAG</t>
  </si>
  <si>
    <t>ACTTAAGC</t>
  </si>
  <si>
    <t>ATACGTGT</t>
  </si>
  <si>
    <t>ACTTCTTG</t>
  </si>
  <si>
    <t>TACTGATA</t>
  </si>
  <si>
    <t>CTGACTCG</t>
  </si>
  <si>
    <t>AGTTAAAG</t>
  </si>
  <si>
    <t>ATAGAGGC</t>
  </si>
  <si>
    <t>AAAGGAGG</t>
  </si>
  <si>
    <t>GGGAACTG</t>
  </si>
  <si>
    <t>ACAAGGTA</t>
  </si>
  <si>
    <t>GCAGAAGT</t>
  </si>
  <si>
    <t>CTGCTTAA</t>
  </si>
  <si>
    <t>GATTTGAT</t>
  </si>
  <si>
    <t>GACTCAAA</t>
  </si>
  <si>
    <t>GAGGATTT</t>
  </si>
  <si>
    <t>CATCTGTA</t>
  </si>
  <si>
    <t>TGCGCTTA</t>
  </si>
  <si>
    <t>TTCCGTTG</t>
  </si>
  <si>
    <t>TCCAGGCT</t>
  </si>
  <si>
    <t>CTGTCCTC</t>
  </si>
  <si>
    <t>TTCGATAG</t>
  </si>
  <si>
    <t>GTTAGTGA</t>
  </si>
  <si>
    <t>CTTATCGA</t>
  </si>
  <si>
    <t>GAATAAAG</t>
  </si>
  <si>
    <t>GAAGGCAG</t>
  </si>
  <si>
    <t>TTGGTTGT</t>
  </si>
  <si>
    <t>CCCATTGC</t>
  </si>
  <si>
    <t>GTGTCCAG</t>
  </si>
  <si>
    <t>GCATACTT</t>
  </si>
  <si>
    <t>CCATCGGA</t>
  </si>
  <si>
    <t>CCGTTGTC</t>
  </si>
  <si>
    <t>TAAAGCTA</t>
  </si>
  <si>
    <t>GACTGTTT</t>
  </si>
  <si>
    <t>AGTGAGGT</t>
  </si>
  <si>
    <t>TTAATGTC</t>
  </si>
  <si>
    <t>ACGTACAT</t>
  </si>
  <si>
    <t>TTTGTCAT</t>
  </si>
  <si>
    <t>GTAGGTGG</t>
  </si>
  <si>
    <t>CAACAGCA</t>
  </si>
  <si>
    <t>CTGAAATG</t>
  </si>
  <si>
    <t>TAGGGACG</t>
  </si>
  <si>
    <t>TAATCGTA</t>
  </si>
  <si>
    <t>CGATCTTT</t>
  </si>
  <si>
    <t>TAGCTCAC</t>
  </si>
  <si>
    <t>CCCGCGTT</t>
  </si>
  <si>
    <t>AGCACAAG</t>
  </si>
  <si>
    <t>GGGTAAGC</t>
  </si>
  <si>
    <t>TGTTTACT</t>
  </si>
  <si>
    <t>TTACATCG</t>
  </si>
  <si>
    <t>CGACTAGG</t>
  </si>
  <si>
    <t>TTACTACT</t>
  </si>
  <si>
    <t>CCTTAGTA</t>
  </si>
  <si>
    <t>TCCGAATG</t>
  </si>
  <si>
    <t>TGACGATT</t>
  </si>
  <si>
    <t>AAATCAGC</t>
  </si>
  <si>
    <t>CTTTCGCG</t>
  </si>
  <si>
    <t>AGTGGCAA</t>
  </si>
  <si>
    <t>TCCACGAA</t>
  </si>
  <si>
    <t>FOR</t>
  </si>
  <si>
    <t>REV</t>
  </si>
  <si>
    <t>total rows in INPUTs with library name</t>
  </si>
  <si>
    <t>total rows in this table with library names (non-zero)</t>
  </si>
  <si>
    <t>i5 indexes listed in this table</t>
  </si>
  <si>
    <t>i7 indexes listed in this table</t>
  </si>
  <si>
    <t>These should all list the same counts</t>
  </si>
  <si>
    <t>7050I</t>
  </si>
  <si>
    <t>EF19</t>
  </si>
  <si>
    <t>T1</t>
  </si>
  <si>
    <t>EF20</t>
  </si>
  <si>
    <t>T2</t>
  </si>
  <si>
    <t>EF21</t>
  </si>
  <si>
    <t>T3</t>
  </si>
  <si>
    <t>EF22</t>
  </si>
  <si>
    <t>B1</t>
  </si>
  <si>
    <t>EF23</t>
  </si>
  <si>
    <t>B2</t>
  </si>
  <si>
    <t>EF24</t>
  </si>
  <si>
    <t>B3</t>
  </si>
  <si>
    <t>EF25</t>
  </si>
  <si>
    <t>EF26</t>
  </si>
  <si>
    <t>EF27</t>
  </si>
  <si>
    <t>EF28</t>
  </si>
  <si>
    <t>EF29</t>
  </si>
  <si>
    <t>EF30</t>
  </si>
  <si>
    <t>Final Library (smear-adjusted: 185-210bp)</t>
  </si>
  <si>
    <t>Smear analysis based on: 185-210bp target size</t>
  </si>
  <si>
    <t>post-size selection estimate</t>
  </si>
  <si>
    <t>Pippin:</t>
  </si>
  <si>
    <t>3% gel</t>
  </si>
  <si>
    <t>ul of final BC pool (=half)</t>
  </si>
  <si>
    <t>reduce free primers before Pippin</t>
  </si>
  <si>
    <t>7050I-miRNA</t>
  </si>
  <si>
    <t>Empirical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</si>
</sst>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5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theme="1"/>
      <name val="Courier New"/>
      <family val="3"/>
    </font>
  </fonts>
  <fills count="1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249977111117893"/>
        <bgColor indexed="64"/>
      </patternFill>
    </fill>
  </fills>
  <borders count="4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239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/>
    <xf numFmtId="0" fontId="0" fillId="0" borderId="0" xfId="0" applyAlignment="1">
      <alignment horizontal="left"/>
    </xf>
    <xf numFmtId="0" fontId="0" fillId="0" borderId="1" xfId="0" applyBorder="1"/>
    <xf numFmtId="164" fontId="0" fillId="0" borderId="0" xfId="0" applyNumberFormat="1"/>
    <xf numFmtId="0" fontId="1" fillId="0" borderId="0" xfId="0" applyFont="1" applyAlignment="1">
      <alignment horizontal="right"/>
    </xf>
    <xf numFmtId="0" fontId="1" fillId="0" borderId="0" xfId="0" applyFont="1"/>
    <xf numFmtId="1" fontId="0" fillId="0" borderId="0" xfId="0" applyNumberFormat="1"/>
    <xf numFmtId="0" fontId="1" fillId="0" borderId="3" xfId="0" applyFont="1" applyBorder="1"/>
    <xf numFmtId="0" fontId="0" fillId="0" borderId="3" xfId="0" applyBorder="1"/>
    <xf numFmtId="0" fontId="0" fillId="0" borderId="0" xfId="0" applyAlignment="1">
      <alignment horizontal="center"/>
    </xf>
    <xf numFmtId="0" fontId="1" fillId="0" borderId="1" xfId="0" applyFont="1" applyBorder="1"/>
    <xf numFmtId="0" fontId="0" fillId="0" borderId="6" xfId="0" applyBorder="1"/>
    <xf numFmtId="0" fontId="0" fillId="0" borderId="4" xfId="0" applyBorder="1" applyAlignment="1">
      <alignment horizontal="center"/>
    </xf>
    <xf numFmtId="0" fontId="1" fillId="0" borderId="5" xfId="0" applyFont="1" applyBorder="1"/>
    <xf numFmtId="2" fontId="0" fillId="0" borderId="0" xfId="0" applyNumberFormat="1"/>
    <xf numFmtId="0" fontId="0" fillId="0" borderId="4" xfId="0" applyBorder="1"/>
    <xf numFmtId="0" fontId="1" fillId="0" borderId="3" xfId="0" applyFont="1" applyBorder="1" applyAlignment="1">
      <alignment horizontal="center"/>
    </xf>
    <xf numFmtId="165" fontId="7" fillId="0" borderId="0" xfId="1" applyNumberFormat="1" applyFont="1" applyFill="1" applyBorder="1"/>
    <xf numFmtId="10" fontId="0" fillId="0" borderId="0" xfId="0" applyNumberFormat="1"/>
    <xf numFmtId="164" fontId="1" fillId="0" borderId="0" xfId="0" applyNumberFormat="1" applyFont="1"/>
    <xf numFmtId="0" fontId="8" fillId="0" borderId="0" xfId="1" applyNumberFormat="1" applyFont="1" applyFill="1" applyBorder="1" applyAlignment="1">
      <alignment horizontal="left"/>
    </xf>
    <xf numFmtId="0" fontId="1" fillId="0" borderId="12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left"/>
    </xf>
    <xf numFmtId="164" fontId="0" fillId="2" borderId="0" xfId="0" applyNumberFormat="1" applyFill="1"/>
    <xf numFmtId="0" fontId="1" fillId="0" borderId="13" xfId="0" applyFont="1" applyBorder="1"/>
    <xf numFmtId="0" fontId="1" fillId="0" borderId="12" xfId="0" applyFont="1" applyBorder="1"/>
    <xf numFmtId="0" fontId="1" fillId="0" borderId="13" xfId="0" applyFont="1" applyBorder="1" applyAlignment="1">
      <alignment horizontal="center"/>
    </xf>
    <xf numFmtId="0" fontId="1" fillId="0" borderId="6" xfId="0" applyFont="1" applyBorder="1"/>
    <xf numFmtId="0" fontId="1" fillId="0" borderId="4" xfId="0" applyFont="1" applyBorder="1"/>
    <xf numFmtId="2" fontId="0" fillId="0" borderId="9" xfId="0" applyNumberFormat="1" applyBorder="1"/>
    <xf numFmtId="164" fontId="0" fillId="0" borderId="9" xfId="0" applyNumberFormat="1" applyBorder="1"/>
    <xf numFmtId="0" fontId="0" fillId="0" borderId="9" xfId="0" applyBorder="1"/>
    <xf numFmtId="164" fontId="0" fillId="3" borderId="9" xfId="0" applyNumberFormat="1" applyFill="1" applyBorder="1"/>
    <xf numFmtId="2" fontId="0" fillId="0" borderId="10" xfId="0" applyNumberFormat="1" applyBorder="1"/>
    <xf numFmtId="0" fontId="8" fillId="0" borderId="8" xfId="1" applyNumberFormat="1" applyFont="1" applyFill="1" applyBorder="1" applyAlignment="1">
      <alignment horizontal="left"/>
    </xf>
    <xf numFmtId="2" fontId="0" fillId="0" borderId="8" xfId="0" applyNumberFormat="1" applyBorder="1"/>
    <xf numFmtId="1" fontId="0" fillId="0" borderId="9" xfId="0" applyNumberFormat="1" applyBorder="1"/>
    <xf numFmtId="164" fontId="0" fillId="0" borderId="10" xfId="0" applyNumberFormat="1" applyBorder="1"/>
    <xf numFmtId="0" fontId="0" fillId="0" borderId="13" xfId="0" applyBorder="1" applyAlignment="1">
      <alignment horizontal="left"/>
    </xf>
    <xf numFmtId="1" fontId="0" fillId="0" borderId="0" xfId="0" applyNumberFormat="1" applyAlignment="1">
      <alignment horizontal="center"/>
    </xf>
    <xf numFmtId="1" fontId="0" fillId="0" borderId="9" xfId="0" applyNumberFormat="1" applyBorder="1" applyAlignment="1">
      <alignment horizontal="center"/>
    </xf>
    <xf numFmtId="3" fontId="0" fillId="0" borderId="3" xfId="0" applyNumberFormat="1" applyBorder="1"/>
    <xf numFmtId="0" fontId="0" fillId="6" borderId="0" xfId="0" applyFill="1" applyAlignment="1">
      <alignment horizontal="center"/>
    </xf>
    <xf numFmtId="0" fontId="0" fillId="6" borderId="12" xfId="0" applyFill="1" applyBorder="1" applyAlignment="1">
      <alignment horizontal="center"/>
    </xf>
    <xf numFmtId="0" fontId="0" fillId="0" borderId="17" xfId="0" applyBorder="1"/>
    <xf numFmtId="9" fontId="0" fillId="3" borderId="0" xfId="0" applyNumberFormat="1" applyFill="1"/>
    <xf numFmtId="0" fontId="1" fillId="0" borderId="18" xfId="0" applyFont="1" applyBorder="1"/>
    <xf numFmtId="0" fontId="0" fillId="0" borderId="18" xfId="0" applyBorder="1"/>
    <xf numFmtId="164" fontId="0" fillId="5" borderId="18" xfId="0" applyNumberFormat="1" applyFill="1" applyBorder="1"/>
    <xf numFmtId="0" fontId="8" fillId="0" borderId="20" xfId="1" applyNumberFormat="1" applyFont="1" applyFill="1" applyBorder="1" applyAlignment="1">
      <alignment horizontal="left"/>
    </xf>
    <xf numFmtId="1" fontId="0" fillId="0" borderId="18" xfId="0" applyNumberFormat="1" applyBorder="1"/>
    <xf numFmtId="164" fontId="0" fillId="0" borderId="18" xfId="0" applyNumberFormat="1" applyBorder="1"/>
    <xf numFmtId="164" fontId="0" fillId="0" borderId="19" xfId="0" applyNumberFormat="1" applyBorder="1"/>
    <xf numFmtId="2" fontId="0" fillId="0" borderId="18" xfId="0" applyNumberFormat="1" applyBorder="1"/>
    <xf numFmtId="0" fontId="0" fillId="5" borderId="18" xfId="0" applyFill="1" applyBorder="1" applyAlignment="1">
      <alignment horizontal="center"/>
    </xf>
    <xf numFmtId="9" fontId="0" fillId="4" borderId="18" xfId="1" applyFont="1" applyFill="1" applyBorder="1"/>
    <xf numFmtId="164" fontId="0" fillId="4" borderId="18" xfId="0" applyNumberFormat="1" applyFill="1" applyBorder="1"/>
    <xf numFmtId="1" fontId="1" fillId="5" borderId="18" xfId="0" applyNumberFormat="1" applyFont="1" applyFill="1" applyBorder="1" applyAlignment="1">
      <alignment horizontal="center"/>
    </xf>
    <xf numFmtId="3" fontId="0" fillId="0" borderId="20" xfId="0" applyNumberFormat="1" applyBorder="1"/>
    <xf numFmtId="9" fontId="0" fillId="0" borderId="9" xfId="1" applyFont="1" applyFill="1" applyBorder="1"/>
    <xf numFmtId="0" fontId="1" fillId="0" borderId="12" xfId="0" applyFont="1" applyBorder="1" applyAlignment="1">
      <alignment horizontal="left"/>
    </xf>
    <xf numFmtId="0" fontId="0" fillId="4" borderId="17" xfId="0" applyFill="1" applyBorder="1"/>
    <xf numFmtId="0" fontId="10" fillId="0" borderId="0" xfId="0" applyFont="1"/>
    <xf numFmtId="164" fontId="0" fillId="0" borderId="17" xfId="0" applyNumberFormat="1" applyBorder="1"/>
    <xf numFmtId="1" fontId="0" fillId="0" borderId="17" xfId="0" applyNumberFormat="1" applyBorder="1"/>
    <xf numFmtId="9" fontId="0" fillId="0" borderId="0" xfId="1" applyFont="1" applyFill="1"/>
    <xf numFmtId="0" fontId="0" fillId="0" borderId="0" xfId="0" applyProtection="1">
      <protection locked="0"/>
    </xf>
    <xf numFmtId="9" fontId="0" fillId="0" borderId="1" xfId="0" applyNumberFormat="1" applyBorder="1" applyProtection="1">
      <protection locked="0"/>
    </xf>
    <xf numFmtId="0" fontId="0" fillId="0" borderId="0" xfId="0" applyAlignment="1" applyProtection="1">
      <alignment horizontal="right"/>
      <protection locked="0"/>
    </xf>
    <xf numFmtId="0" fontId="1" fillId="0" borderId="12" xfId="0" applyFont="1" applyBorder="1" applyAlignment="1" applyProtection="1">
      <alignment horizontal="center"/>
      <protection locked="0"/>
    </xf>
    <xf numFmtId="0" fontId="0" fillId="2" borderId="9" xfId="0" applyFill="1" applyBorder="1" applyAlignment="1" applyProtection="1">
      <alignment horizontal="center"/>
      <protection locked="0"/>
    </xf>
    <xf numFmtId="0" fontId="0" fillId="0" borderId="17" xfId="0" applyBorder="1" applyProtection="1">
      <protection locked="0"/>
    </xf>
    <xf numFmtId="0" fontId="1" fillId="0" borderId="0" xfId="0" applyFont="1" applyAlignment="1" applyProtection="1">
      <alignment horizontal="right"/>
      <protection locked="0"/>
    </xf>
    <xf numFmtId="0" fontId="0" fillId="0" borderId="0" xfId="0" applyAlignment="1" applyProtection="1">
      <alignment horizontal="center"/>
      <protection locked="0"/>
    </xf>
    <xf numFmtId="3" fontId="0" fillId="2" borderId="8" xfId="0" applyNumberFormat="1" applyFill="1" applyBorder="1" applyProtection="1"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0" fillId="2" borderId="0" xfId="0" applyFill="1" applyProtection="1">
      <protection locked="0"/>
    </xf>
    <xf numFmtId="0" fontId="1" fillId="2" borderId="3" xfId="0" applyFont="1" applyFill="1" applyBorder="1" applyProtection="1">
      <protection locked="0"/>
    </xf>
    <xf numFmtId="0" fontId="0" fillId="2" borderId="18" xfId="0" applyFill="1" applyBorder="1" applyAlignment="1" applyProtection="1">
      <alignment horizontal="center"/>
      <protection locked="0"/>
    </xf>
    <xf numFmtId="164" fontId="0" fillId="2" borderId="0" xfId="0" applyNumberFormat="1" applyFill="1" applyProtection="1">
      <protection locked="0"/>
    </xf>
    <xf numFmtId="0" fontId="0" fillId="5" borderId="0" xfId="0" applyFill="1"/>
    <xf numFmtId="0" fontId="0" fillId="0" borderId="9" xfId="0" applyBorder="1" applyAlignment="1" applyProtection="1">
      <alignment horizontal="right"/>
      <protection locked="0"/>
    </xf>
    <xf numFmtId="164" fontId="0" fillId="0" borderId="9" xfId="0" applyNumberFormat="1" applyBorder="1" applyProtection="1">
      <protection locked="0"/>
    </xf>
    <xf numFmtId="1" fontId="0" fillId="0" borderId="9" xfId="0" applyNumberFormat="1" applyBorder="1" applyProtection="1">
      <protection locked="0"/>
    </xf>
    <xf numFmtId="0" fontId="4" fillId="0" borderId="9" xfId="0" applyFont="1" applyBorder="1" applyAlignment="1" applyProtection="1">
      <alignment horizontal="center"/>
      <protection locked="0"/>
    </xf>
    <xf numFmtId="0" fontId="0" fillId="6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6" borderId="9" xfId="0" applyNumberFormat="1" applyFill="1" applyBorder="1" applyAlignment="1" applyProtection="1">
      <alignment horizontal="center"/>
      <protection locked="0"/>
    </xf>
    <xf numFmtId="0" fontId="5" fillId="6" borderId="0" xfId="0" applyFont="1" applyFill="1"/>
    <xf numFmtId="1" fontId="0" fillId="0" borderId="9" xfId="1" applyNumberFormat="1" applyFont="1" applyFill="1" applyBorder="1"/>
    <xf numFmtId="0" fontId="5" fillId="0" borderId="5" xfId="0" applyFont="1" applyBorder="1"/>
    <xf numFmtId="0" fontId="5" fillId="0" borderId="1" xfId="0" applyFont="1" applyBorder="1"/>
    <xf numFmtId="0" fontId="11" fillId="0" borderId="1" xfId="0" applyFont="1" applyBorder="1"/>
    <xf numFmtId="0" fontId="12" fillId="0" borderId="1" xfId="0" applyFont="1" applyBorder="1"/>
    <xf numFmtId="9" fontId="5" fillId="0" borderId="6" xfId="0" applyNumberFormat="1" applyFont="1" applyBorder="1"/>
    <xf numFmtId="0" fontId="11" fillId="0" borderId="5" xfId="0" applyFont="1" applyBorder="1"/>
    <xf numFmtId="9" fontId="5" fillId="0" borderId="1" xfId="0" applyNumberFormat="1" applyFont="1" applyBorder="1"/>
    <xf numFmtId="0" fontId="11" fillId="0" borderId="6" xfId="0" applyFont="1" applyBorder="1"/>
    <xf numFmtId="0" fontId="5" fillId="0" borderId="6" xfId="0" applyFont="1" applyBorder="1"/>
    <xf numFmtId="0" fontId="5" fillId="0" borderId="0" xfId="0" applyFont="1"/>
    <xf numFmtId="0" fontId="5" fillId="2" borderId="0" xfId="0" applyFont="1" applyFill="1" applyProtection="1">
      <protection locked="0"/>
    </xf>
    <xf numFmtId="0" fontId="3" fillId="0" borderId="0" xfId="0" applyFont="1"/>
    <xf numFmtId="0" fontId="13" fillId="0" borderId="0" xfId="0" applyFont="1"/>
    <xf numFmtId="0" fontId="3" fillId="0" borderId="12" xfId="0" applyFont="1" applyBorder="1"/>
    <xf numFmtId="0" fontId="2" fillId="0" borderId="9" xfId="0" applyFont="1" applyBorder="1" applyAlignment="1">
      <alignment horizontal="center"/>
    </xf>
    <xf numFmtId="0" fontId="2" fillId="0" borderId="9" xfId="1" applyNumberFormat="1" applyFont="1" applyFill="1" applyBorder="1" applyAlignment="1">
      <alignment horizontal="center"/>
    </xf>
    <xf numFmtId="0" fontId="3" fillId="0" borderId="18" xfId="0" applyFont="1" applyBorder="1"/>
    <xf numFmtId="0" fontId="1" fillId="0" borderId="0" xfId="0" applyFont="1" applyAlignment="1">
      <alignment horizontal="left"/>
    </xf>
    <xf numFmtId="0" fontId="1" fillId="4" borderId="12" xfId="0" applyFont="1" applyFill="1" applyBorder="1"/>
    <xf numFmtId="164" fontId="0" fillId="0" borderId="9" xfId="1" applyNumberFormat="1" applyFont="1" applyFill="1" applyBorder="1"/>
    <xf numFmtId="1" fontId="14" fillId="0" borderId="9" xfId="1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1" fontId="1" fillId="3" borderId="9" xfId="0" applyNumberFormat="1" applyFont="1" applyFill="1" applyBorder="1" applyAlignment="1">
      <alignment horizontal="center"/>
    </xf>
    <xf numFmtId="164" fontId="1" fillId="0" borderId="17" xfId="0" applyNumberFormat="1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1" fontId="2" fillId="0" borderId="10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1" fontId="12" fillId="0" borderId="11" xfId="0" applyNumberFormat="1" applyFont="1" applyBorder="1" applyAlignment="1">
      <alignment horizontal="center"/>
    </xf>
    <xf numFmtId="1" fontId="12" fillId="0" borderId="9" xfId="0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 applyProtection="1">
      <alignment horizontal="center"/>
      <protection locked="0"/>
    </xf>
    <xf numFmtId="0" fontId="0" fillId="4" borderId="17" xfId="0" applyFill="1" applyBorder="1" applyAlignment="1">
      <alignment horizontal="center"/>
    </xf>
    <xf numFmtId="0" fontId="0" fillId="3" borderId="0" xfId="0" applyFill="1"/>
    <xf numFmtId="0" fontId="1" fillId="3" borderId="21" xfId="0" applyFont="1" applyFill="1" applyBorder="1"/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5" fillId="0" borderId="1" xfId="0" applyFont="1" applyBorder="1" applyAlignment="1">
      <alignment horizontal="center"/>
    </xf>
    <xf numFmtId="1" fontId="0" fillId="0" borderId="9" xfId="1" applyNumberFormat="1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2" fontId="0" fillId="0" borderId="0" xfId="0" applyNumberFormat="1" applyAlignment="1">
      <alignment horizontal="center"/>
    </xf>
    <xf numFmtId="164" fontId="3" fillId="0" borderId="18" xfId="0" applyNumberFormat="1" applyFont="1" applyBorder="1"/>
    <xf numFmtId="2" fontId="3" fillId="0" borderId="0" xfId="0" applyNumberFormat="1" applyFont="1"/>
    <xf numFmtId="164" fontId="2" fillId="0" borderId="9" xfId="0" applyNumberFormat="1" applyFont="1" applyBorder="1"/>
    <xf numFmtId="164" fontId="2" fillId="0" borderId="8" xfId="0" applyNumberFormat="1" applyFont="1" applyBorder="1"/>
    <xf numFmtId="2" fontId="1" fillId="0" borderId="0" xfId="0" applyNumberFormat="1" applyFont="1"/>
    <xf numFmtId="0" fontId="0" fillId="4" borderId="9" xfId="0" applyFill="1" applyBorder="1" applyAlignment="1" applyProtection="1">
      <alignment horizontal="left"/>
      <protection locked="0"/>
    </xf>
    <xf numFmtId="0" fontId="15" fillId="4" borderId="9" xfId="0" applyFont="1" applyFill="1" applyBorder="1" applyAlignment="1">
      <alignment horizontal="left"/>
    </xf>
    <xf numFmtId="1" fontId="0" fillId="0" borderId="10" xfId="0" applyNumberFormat="1" applyBorder="1"/>
    <xf numFmtId="2" fontId="0" fillId="0" borderId="16" xfId="0" applyNumberFormat="1" applyBorder="1"/>
    <xf numFmtId="0" fontId="15" fillId="0" borderId="11" xfId="0" applyFont="1" applyBorder="1" applyAlignment="1">
      <alignment horizontal="left"/>
    </xf>
    <xf numFmtId="0" fontId="0" fillId="0" borderId="9" xfId="0" applyBorder="1" applyAlignment="1" applyProtection="1">
      <alignment horizontal="left"/>
      <protection locked="0"/>
    </xf>
    <xf numFmtId="1" fontId="9" fillId="0" borderId="18" xfId="0" applyNumberFormat="1" applyFont="1" applyBorder="1" applyAlignment="1">
      <alignment horizontal="center"/>
    </xf>
    <xf numFmtId="2" fontId="0" fillId="0" borderId="20" xfId="0" applyNumberFormat="1" applyBorder="1"/>
    <xf numFmtId="0" fontId="0" fillId="0" borderId="18" xfId="0" applyBorder="1" applyAlignment="1">
      <alignment horizontal="center"/>
    </xf>
    <xf numFmtId="2" fontId="0" fillId="0" borderId="24" xfId="0" applyNumberFormat="1" applyBorder="1"/>
    <xf numFmtId="164" fontId="1" fillId="0" borderId="2" xfId="0" applyNumberFormat="1" applyFont="1" applyBorder="1"/>
    <xf numFmtId="0" fontId="1" fillId="7" borderId="0" xfId="0" applyFont="1" applyFill="1"/>
    <xf numFmtId="0" fontId="0" fillId="7" borderId="12" xfId="0" applyFill="1" applyBorder="1" applyAlignment="1">
      <alignment horizontal="left"/>
    </xf>
    <xf numFmtId="0" fontId="0" fillId="0" borderId="25" xfId="0" applyBorder="1"/>
    <xf numFmtId="0" fontId="2" fillId="0" borderId="25" xfId="1" applyNumberFormat="1" applyFont="1" applyFill="1" applyBorder="1" applyAlignment="1">
      <alignment horizontal="center"/>
    </xf>
    <xf numFmtId="1" fontId="0" fillId="0" borderId="25" xfId="1" applyNumberFormat="1" applyFont="1" applyFill="1" applyBorder="1"/>
    <xf numFmtId="1" fontId="14" fillId="0" borderId="25" xfId="1" applyNumberFormat="1" applyFont="1" applyFill="1" applyBorder="1" applyAlignment="1">
      <alignment horizontal="center"/>
    </xf>
    <xf numFmtId="0" fontId="0" fillId="4" borderId="18" xfId="0" applyFill="1" applyBorder="1"/>
    <xf numFmtId="1" fontId="0" fillId="0" borderId="8" xfId="0" applyNumberFormat="1" applyBorder="1"/>
    <xf numFmtId="164" fontId="0" fillId="5" borderId="20" xfId="0" applyNumberFormat="1" applyFill="1" applyBorder="1"/>
    <xf numFmtId="9" fontId="5" fillId="0" borderId="5" xfId="0" applyNumberFormat="1" applyFont="1" applyBorder="1"/>
    <xf numFmtId="0" fontId="1" fillId="0" borderId="24" xfId="0" applyFont="1" applyBorder="1" applyAlignment="1">
      <alignment horizontal="center"/>
    </xf>
    <xf numFmtId="1" fontId="16" fillId="0" borderId="10" xfId="0" applyNumberFormat="1" applyFont="1" applyBorder="1"/>
    <xf numFmtId="1" fontId="16" fillId="0" borderId="19" xfId="0" applyNumberFormat="1" applyFont="1" applyBorder="1"/>
    <xf numFmtId="0" fontId="1" fillId="8" borderId="26" xfId="0" applyFont="1" applyFill="1" applyBorder="1" applyAlignment="1">
      <alignment horizontal="center" vertical="center"/>
    </xf>
    <xf numFmtId="0" fontId="1" fillId="6" borderId="26" xfId="0" applyFont="1" applyFill="1" applyBorder="1" applyAlignment="1">
      <alignment horizontal="center"/>
    </xf>
    <xf numFmtId="0" fontId="0" fillId="9" borderId="0" xfId="0" applyFill="1" applyAlignment="1">
      <alignment horizontal="right"/>
    </xf>
    <xf numFmtId="0" fontId="0" fillId="10" borderId="26" xfId="0" applyFill="1" applyBorder="1" applyAlignment="1">
      <alignment vertical="center"/>
    </xf>
    <xf numFmtId="0" fontId="0" fillId="10" borderId="0" xfId="0" applyFill="1" applyAlignment="1">
      <alignment horizontal="center"/>
    </xf>
    <xf numFmtId="0" fontId="5" fillId="6" borderId="27" xfId="0" applyFont="1" applyFill="1" applyBorder="1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6" borderId="26" xfId="0" applyFont="1" applyFill="1" applyBorder="1" applyAlignment="1">
      <alignment horizontal="center" vertical="center"/>
    </xf>
    <xf numFmtId="1" fontId="1" fillId="6" borderId="26" xfId="0" applyNumberFormat="1" applyFont="1" applyFill="1" applyBorder="1" applyAlignment="1">
      <alignment horizontal="center"/>
    </xf>
    <xf numFmtId="1" fontId="0" fillId="0" borderId="0" xfId="0" applyNumberFormat="1" applyProtection="1">
      <protection locked="0"/>
    </xf>
    <xf numFmtId="0" fontId="1" fillId="0" borderId="2" xfId="0" applyFont="1" applyBorder="1" applyAlignment="1">
      <alignment horizontal="right"/>
    </xf>
    <xf numFmtId="2" fontId="1" fillId="0" borderId="2" xfId="0" applyNumberFormat="1" applyFont="1" applyBorder="1"/>
    <xf numFmtId="0" fontId="0" fillId="11" borderId="0" xfId="0" applyFill="1" applyAlignment="1">
      <alignment horizontal="center"/>
    </xf>
    <xf numFmtId="2" fontId="0" fillId="0" borderId="28" xfId="0" applyNumberFormat="1" applyBorder="1"/>
    <xf numFmtId="1" fontId="16" fillId="0" borderId="29" xfId="0" applyNumberFormat="1" applyFont="1" applyBorder="1"/>
    <xf numFmtId="2" fontId="0" fillId="0" borderId="30" xfId="0" applyNumberFormat="1" applyBorder="1"/>
    <xf numFmtId="9" fontId="0" fillId="0" borderId="9" xfId="1" applyFont="1" applyBorder="1" applyAlignment="1" applyProtection="1">
      <alignment horizontal="right"/>
      <protection locked="0"/>
    </xf>
    <xf numFmtId="2" fontId="0" fillId="0" borderId="9" xfId="0" applyNumberFormat="1" applyBorder="1" applyProtection="1">
      <protection locked="0"/>
    </xf>
    <xf numFmtId="1" fontId="0" fillId="3" borderId="0" xfId="0" applyNumberFormat="1" applyFill="1"/>
    <xf numFmtId="1" fontId="0" fillId="3" borderId="7" xfId="0" applyNumberFormat="1" applyFill="1" applyBorder="1" applyProtection="1">
      <protection locked="0"/>
    </xf>
    <xf numFmtId="0" fontId="0" fillId="0" borderId="2" xfId="0" applyBorder="1"/>
    <xf numFmtId="0" fontId="2" fillId="0" borderId="0" xfId="0" applyFont="1" applyAlignment="1">
      <alignment horizontal="right"/>
    </xf>
    <xf numFmtId="164" fontId="2" fillId="0" borderId="0" xfId="0" applyNumberFormat="1" applyFont="1"/>
    <xf numFmtId="2" fontId="2" fillId="0" borderId="0" xfId="0" applyNumberFormat="1" applyFont="1"/>
    <xf numFmtId="0" fontId="0" fillId="0" borderId="31" xfId="0" applyBorder="1"/>
    <xf numFmtId="0" fontId="2" fillId="0" borderId="31" xfId="1" applyNumberFormat="1" applyFont="1" applyFill="1" applyBorder="1" applyAlignment="1">
      <alignment horizontal="center"/>
    </xf>
    <xf numFmtId="1" fontId="0" fillId="0" borderId="31" xfId="1" applyNumberFormat="1" applyFont="1" applyFill="1" applyBorder="1"/>
    <xf numFmtId="1" fontId="14" fillId="0" borderId="31" xfId="1" applyNumberFormat="1" applyFont="1" applyFill="1" applyBorder="1" applyAlignment="1">
      <alignment horizontal="center"/>
    </xf>
    <xf numFmtId="0" fontId="1" fillId="0" borderId="32" xfId="0" applyFont="1" applyBorder="1" applyAlignment="1">
      <alignment horizontal="center"/>
    </xf>
    <xf numFmtId="2" fontId="0" fillId="0" borderId="32" xfId="0" applyNumberFormat="1" applyBorder="1"/>
    <xf numFmtId="0" fontId="2" fillId="0" borderId="11" xfId="0" applyFont="1" applyBorder="1" applyAlignment="1" applyProtection="1">
      <alignment horizontal="left"/>
      <protection locked="0"/>
    </xf>
    <xf numFmtId="0" fontId="17" fillId="0" borderId="0" xfId="0" applyFont="1"/>
    <xf numFmtId="0" fontId="0" fillId="0" borderId="0" xfId="0" applyAlignment="1">
      <alignment wrapText="1"/>
    </xf>
    <xf numFmtId="0" fontId="0" fillId="0" borderId="33" xfId="0" applyBorder="1"/>
    <xf numFmtId="0" fontId="0" fillId="0" borderId="35" xfId="0" applyBorder="1"/>
    <xf numFmtId="0" fontId="0" fillId="0" borderId="37" xfId="0" applyBorder="1"/>
    <xf numFmtId="0" fontId="0" fillId="0" borderId="34" xfId="0" applyBorder="1"/>
    <xf numFmtId="0" fontId="0" fillId="0" borderId="36" xfId="0" applyBorder="1"/>
    <xf numFmtId="0" fontId="0" fillId="0" borderId="38" xfId="0" applyBorder="1"/>
    <xf numFmtId="0" fontId="2" fillId="0" borderId="25" xfId="0" applyFont="1" applyBorder="1" applyAlignment="1">
      <alignment horizontal="center"/>
    </xf>
    <xf numFmtId="164" fontId="0" fillId="0" borderId="25" xfId="1" applyNumberFormat="1" applyFont="1" applyFill="1" applyBorder="1"/>
    <xf numFmtId="164" fontId="0" fillId="3" borderId="25" xfId="0" applyNumberFormat="1" applyFill="1" applyBorder="1"/>
    <xf numFmtId="2" fontId="0" fillId="0" borderId="25" xfId="0" applyNumberFormat="1" applyBorder="1"/>
    <xf numFmtId="1" fontId="0" fillId="0" borderId="24" xfId="0" applyNumberFormat="1" applyBorder="1"/>
    <xf numFmtId="1" fontId="0" fillId="0" borderId="25" xfId="0" applyNumberFormat="1" applyBorder="1"/>
    <xf numFmtId="1" fontId="0" fillId="0" borderId="39" xfId="0" applyNumberFormat="1" applyBorder="1"/>
    <xf numFmtId="1" fontId="12" fillId="0" borderId="25" xfId="0" applyNumberFormat="1" applyFont="1" applyBorder="1" applyAlignment="1">
      <alignment horizontal="center"/>
    </xf>
    <xf numFmtId="0" fontId="8" fillId="0" borderId="24" xfId="1" applyNumberFormat="1" applyFont="1" applyFill="1" applyBorder="1" applyAlignment="1">
      <alignment horizontal="left"/>
    </xf>
    <xf numFmtId="0" fontId="0" fillId="2" borderId="25" xfId="0" applyFill="1" applyBorder="1" applyAlignment="1" applyProtection="1">
      <alignment horizontal="center"/>
      <protection locked="0"/>
    </xf>
    <xf numFmtId="1" fontId="16" fillId="0" borderId="39" xfId="0" applyNumberFormat="1" applyFont="1" applyBorder="1"/>
    <xf numFmtId="164" fontId="0" fillId="0" borderId="25" xfId="0" applyNumberFormat="1" applyBorder="1"/>
    <xf numFmtId="164" fontId="0" fillId="0" borderId="39" xfId="0" applyNumberFormat="1" applyBorder="1"/>
    <xf numFmtId="9" fontId="0" fillId="0" borderId="25" xfId="1" applyFont="1" applyFill="1" applyBorder="1"/>
    <xf numFmtId="1" fontId="0" fillId="0" borderId="25" xfId="0" applyNumberFormat="1" applyBorder="1" applyAlignment="1">
      <alignment horizontal="center"/>
    </xf>
    <xf numFmtId="3" fontId="0" fillId="2" borderId="24" xfId="0" applyNumberFormat="1" applyFill="1" applyBorder="1" applyProtection="1">
      <protection locked="0"/>
    </xf>
    <xf numFmtId="0" fontId="1" fillId="0" borderId="4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0" fillId="0" borderId="2" xfId="0" applyBorder="1" applyAlignment="1">
      <alignment horizontal="right"/>
    </xf>
    <xf numFmtId="1" fontId="1" fillId="0" borderId="0" xfId="0" applyNumberFormat="1" applyFont="1"/>
    <xf numFmtId="14" fontId="5" fillId="2" borderId="2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12" borderId="17" xfId="0" applyFill="1" applyBorder="1" applyAlignment="1">
      <alignment horizontal="center" vertical="center" wrapText="1"/>
    </xf>
    <xf numFmtId="0" fontId="0" fillId="12" borderId="0" xfId="0" applyFill="1" applyAlignment="1">
      <alignment horizontal="center" vertical="center" wrapText="1"/>
    </xf>
  </cellXfs>
  <cellStyles count="3">
    <cellStyle name="Normal" xfId="0" builtinId="0"/>
    <cellStyle name="Percent" xfId="1" builtinId="5"/>
    <cellStyle name="Percent 2" xfId="2" xr:uid="{00000000-0005-0000-0000-000002000000}"/>
  </cellStyles>
  <dxfs count="47"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9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9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8" tint="0.79998168889431442"/>
        </patternFill>
      </fill>
    </dxf>
    <dxf>
      <fill>
        <patternFill>
          <bgColor theme="9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79998168889431442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71"/>
  <sheetViews>
    <sheetView zoomScaleNormal="100" workbookViewId="0">
      <pane ySplit="5" topLeftCell="A6" activePane="bottomLeft" state="frozen"/>
      <selection pane="bottomLeft" activeCell="O4" sqref="O4"/>
    </sheetView>
  </sheetViews>
  <sheetFormatPr defaultColWidth="9.44140625" defaultRowHeight="15.05" x14ac:dyDescent="0.3"/>
  <cols>
    <col min="1" max="1" width="10.5546875" style="11" customWidth="1"/>
    <col min="2" max="2" width="10.5546875" customWidth="1"/>
    <col min="3" max="3" width="12" customWidth="1"/>
    <col min="4" max="4" width="6.44140625" customWidth="1"/>
    <col min="5" max="5" width="5.44140625" customWidth="1"/>
    <col min="6" max="6" width="8.21875" customWidth="1"/>
    <col min="7" max="7" width="8.44140625" customWidth="1"/>
    <col min="8" max="8" width="7.5546875" customWidth="1"/>
    <col min="9" max="12" width="8.44140625" customWidth="1"/>
    <col min="13" max="14" width="7.44140625" customWidth="1"/>
    <col min="15" max="16" width="8.44140625" customWidth="1"/>
    <col min="17" max="17" width="9.44140625" style="135" customWidth="1"/>
  </cols>
  <sheetData>
    <row r="1" spans="1:18" x14ac:dyDescent="0.3">
      <c r="Q1" s="192">
        <f>SUM(Q6:Q69)</f>
        <v>660</v>
      </c>
      <c r="R1" t="s">
        <v>73</v>
      </c>
    </row>
    <row r="2" spans="1:18" x14ac:dyDescent="0.3">
      <c r="A2" s="139"/>
      <c r="B2" s="85" t="s">
        <v>0</v>
      </c>
      <c r="C2" s="85"/>
      <c r="D2" s="85" t="str">
        <f>INPUTS!M6&amp;":"</f>
        <v>:</v>
      </c>
      <c r="E2" s="85"/>
      <c r="F2" s="85"/>
      <c r="G2" s="85"/>
      <c r="H2" s="85"/>
      <c r="I2" s="85"/>
      <c r="J2" s="85"/>
      <c r="K2" s="85"/>
      <c r="L2" s="85"/>
      <c r="M2" s="85"/>
      <c r="N2" s="85"/>
      <c r="O2" s="93" t="s">
        <v>1</v>
      </c>
    </row>
    <row r="3" spans="1:18" x14ac:dyDescent="0.3">
      <c r="A3" s="132"/>
      <c r="B3" s="4"/>
      <c r="C3" s="4"/>
      <c r="D3" s="12" t="s">
        <v>945</v>
      </c>
      <c r="E3" s="4"/>
      <c r="F3" s="4"/>
      <c r="G3" s="4"/>
      <c r="H3" s="4"/>
      <c r="I3" s="4"/>
      <c r="J3" s="4"/>
      <c r="K3" s="4" t="s">
        <v>3</v>
      </c>
      <c r="L3" s="4"/>
      <c r="M3" s="4"/>
      <c r="N3" s="4"/>
      <c r="O3" s="90" t="s">
        <v>953</v>
      </c>
      <c r="P3" s="91" t="s">
        <v>4</v>
      </c>
      <c r="Q3" s="136"/>
    </row>
    <row r="4" spans="1:18" x14ac:dyDescent="0.3">
      <c r="A4" s="18"/>
      <c r="B4" s="7" t="s">
        <v>5</v>
      </c>
      <c r="C4" s="7"/>
      <c r="D4" s="11" t="s">
        <v>6</v>
      </c>
      <c r="E4" s="11" t="s">
        <v>7</v>
      </c>
      <c r="F4" s="3" t="s">
        <v>8</v>
      </c>
      <c r="G4" s="11"/>
      <c r="H4" s="11"/>
      <c r="I4" s="11" t="s">
        <v>9</v>
      </c>
      <c r="J4" s="11" t="s">
        <v>10</v>
      </c>
      <c r="K4" s="11" t="s">
        <v>11</v>
      </c>
      <c r="L4" s="11" t="s">
        <v>7</v>
      </c>
      <c r="M4" s="117"/>
      <c r="N4" s="117" t="s">
        <v>12</v>
      </c>
      <c r="O4" s="47" t="s">
        <v>11</v>
      </c>
      <c r="P4" s="11" t="s">
        <v>11</v>
      </c>
      <c r="Q4" s="137" t="s">
        <v>13</v>
      </c>
    </row>
    <row r="5" spans="1:18" ht="15.65" thickBot="1" x14ac:dyDescent="0.35">
      <c r="A5" s="31" t="s">
        <v>14</v>
      </c>
      <c r="B5" s="30" t="s">
        <v>15</v>
      </c>
      <c r="C5" s="113" t="s">
        <v>16</v>
      </c>
      <c r="D5" s="25" t="s">
        <v>17</v>
      </c>
      <c r="E5" s="25" t="s">
        <v>18</v>
      </c>
      <c r="F5" s="25" t="s">
        <v>519</v>
      </c>
      <c r="G5" s="25" t="s">
        <v>520</v>
      </c>
      <c r="H5" s="27" t="s">
        <v>19</v>
      </c>
      <c r="I5" s="25" t="s">
        <v>20</v>
      </c>
      <c r="J5" s="25" t="s">
        <v>21</v>
      </c>
      <c r="K5" s="25" t="s">
        <v>21</v>
      </c>
      <c r="L5" s="25" t="s">
        <v>21</v>
      </c>
      <c r="M5" s="65" t="s">
        <v>22</v>
      </c>
      <c r="N5" s="65" t="s">
        <v>23</v>
      </c>
      <c r="O5" s="48" t="s">
        <v>21</v>
      </c>
      <c r="P5" s="25" t="s">
        <v>21</v>
      </c>
      <c r="Q5" s="138" t="s">
        <v>24</v>
      </c>
    </row>
    <row r="6" spans="1:18" x14ac:dyDescent="0.3">
      <c r="A6" s="133" t="s">
        <v>926</v>
      </c>
      <c r="B6" s="153" t="s">
        <v>927</v>
      </c>
      <c r="C6" s="150" t="s">
        <v>928</v>
      </c>
      <c r="D6" s="87">
        <v>1.7766</v>
      </c>
      <c r="E6" s="88">
        <v>20</v>
      </c>
      <c r="F6" s="89" t="s">
        <v>220</v>
      </c>
      <c r="G6" s="89"/>
      <c r="H6" s="88">
        <v>198</v>
      </c>
      <c r="I6" s="190"/>
      <c r="J6" s="191"/>
      <c r="K6" s="191">
        <f>D6/(H6*660)*1000000</f>
        <v>13.595041322314049</v>
      </c>
      <c r="L6" s="191">
        <f>K6</f>
        <v>13.595041322314049</v>
      </c>
      <c r="M6" s="86"/>
      <c r="N6" s="86"/>
      <c r="O6" s="92" t="s">
        <v>25</v>
      </c>
      <c r="P6" s="191">
        <f>IF(ISNUMBER(O6),O6,K6)</f>
        <v>13.595041322314049</v>
      </c>
      <c r="Q6" s="193">
        <v>100</v>
      </c>
    </row>
    <row r="7" spans="1:18" x14ac:dyDescent="0.3">
      <c r="A7" s="133" t="s">
        <v>926</v>
      </c>
      <c r="B7" s="153" t="s">
        <v>929</v>
      </c>
      <c r="C7" s="149" t="s">
        <v>930</v>
      </c>
      <c r="D7" s="87">
        <v>1.7037200000000001</v>
      </c>
      <c r="E7" s="88">
        <v>20</v>
      </c>
      <c r="F7" s="89" t="s">
        <v>223</v>
      </c>
      <c r="G7" s="89"/>
      <c r="H7" s="88">
        <v>198</v>
      </c>
      <c r="I7" s="190"/>
      <c r="J7" s="191"/>
      <c r="K7" s="191">
        <f t="shared" ref="K7:K17" si="0">D7/(H7*660)*1000000</f>
        <v>13.037343128252221</v>
      </c>
      <c r="L7" s="191">
        <f t="shared" ref="L7:L17" si="1">K7</f>
        <v>13.037343128252221</v>
      </c>
      <c r="M7" s="86"/>
      <c r="N7" s="86"/>
      <c r="O7" s="92" t="s">
        <v>25</v>
      </c>
      <c r="P7" s="191">
        <f t="shared" ref="P7:P21" si="2">IF(ISNUMBER(O7),O7,K7)</f>
        <v>13.037343128252221</v>
      </c>
      <c r="Q7" s="193">
        <v>10</v>
      </c>
    </row>
    <row r="8" spans="1:18" x14ac:dyDescent="0.3">
      <c r="A8" s="133" t="s">
        <v>926</v>
      </c>
      <c r="B8" s="153" t="s">
        <v>931</v>
      </c>
      <c r="C8" s="149" t="s">
        <v>932</v>
      </c>
      <c r="D8" s="87">
        <v>1.61175</v>
      </c>
      <c r="E8" s="88">
        <v>20</v>
      </c>
      <c r="F8" s="89" t="s">
        <v>226</v>
      </c>
      <c r="G8" s="89"/>
      <c r="H8" s="88">
        <v>198</v>
      </c>
      <c r="I8" s="190"/>
      <c r="J8" s="191"/>
      <c r="K8" s="191">
        <f t="shared" si="0"/>
        <v>12.33356290174472</v>
      </c>
      <c r="L8" s="191">
        <f t="shared" si="1"/>
        <v>12.33356290174472</v>
      </c>
      <c r="M8" s="86"/>
      <c r="N8" s="86"/>
      <c r="O8" s="92" t="s">
        <v>25</v>
      </c>
      <c r="P8" s="191">
        <f t="shared" si="2"/>
        <v>12.33356290174472</v>
      </c>
      <c r="Q8" s="193">
        <v>100</v>
      </c>
    </row>
    <row r="9" spans="1:18" x14ac:dyDescent="0.3">
      <c r="A9" s="133" t="s">
        <v>926</v>
      </c>
      <c r="B9" s="153" t="s">
        <v>933</v>
      </c>
      <c r="C9" s="149" t="s">
        <v>934</v>
      </c>
      <c r="D9" s="87">
        <v>2.2723200000000001</v>
      </c>
      <c r="E9" s="88">
        <v>20</v>
      </c>
      <c r="F9" s="89" t="s">
        <v>229</v>
      </c>
      <c r="G9" s="89"/>
      <c r="H9" s="88">
        <v>196</v>
      </c>
      <c r="I9" s="190"/>
      <c r="J9" s="191"/>
      <c r="K9" s="191">
        <f t="shared" si="0"/>
        <v>17.565862708719852</v>
      </c>
      <c r="L9" s="191">
        <f t="shared" si="1"/>
        <v>17.565862708719852</v>
      </c>
      <c r="M9" s="86"/>
      <c r="N9" s="86"/>
      <c r="O9" s="92" t="s">
        <v>25</v>
      </c>
      <c r="P9" s="191">
        <f t="shared" si="2"/>
        <v>17.565862708719852</v>
      </c>
      <c r="Q9" s="193">
        <v>10</v>
      </c>
    </row>
    <row r="10" spans="1:18" x14ac:dyDescent="0.3">
      <c r="A10" s="133" t="s">
        <v>926</v>
      </c>
      <c r="B10" s="153" t="s">
        <v>935</v>
      </c>
      <c r="C10" s="149" t="s">
        <v>936</v>
      </c>
      <c r="D10" s="87">
        <v>2.4557500000000001</v>
      </c>
      <c r="E10" s="88">
        <v>20</v>
      </c>
      <c r="F10" s="89" t="s">
        <v>232</v>
      </c>
      <c r="G10" s="89"/>
      <c r="H10" s="88">
        <v>198</v>
      </c>
      <c r="I10" s="190"/>
      <c r="J10" s="191"/>
      <c r="K10" s="191">
        <f t="shared" si="0"/>
        <v>18.792087542087543</v>
      </c>
      <c r="L10" s="191">
        <f t="shared" si="1"/>
        <v>18.792087542087543</v>
      </c>
      <c r="M10" s="86"/>
      <c r="N10" s="86"/>
      <c r="O10" s="92" t="s">
        <v>25</v>
      </c>
      <c r="P10" s="191">
        <f t="shared" si="2"/>
        <v>18.792087542087543</v>
      </c>
      <c r="Q10" s="193">
        <v>100</v>
      </c>
    </row>
    <row r="11" spans="1:18" x14ac:dyDescent="0.3">
      <c r="A11" s="133" t="s">
        <v>926</v>
      </c>
      <c r="B11" s="153" t="s">
        <v>937</v>
      </c>
      <c r="C11" s="149" t="s">
        <v>938</v>
      </c>
      <c r="D11" s="87">
        <v>2.3963200000000002</v>
      </c>
      <c r="E11" s="88">
        <v>20</v>
      </c>
      <c r="F11" s="89" t="s">
        <v>235</v>
      </c>
      <c r="G11" s="89"/>
      <c r="H11" s="88">
        <v>198</v>
      </c>
      <c r="I11" s="190"/>
      <c r="J11" s="191"/>
      <c r="K11" s="191">
        <f t="shared" si="0"/>
        <v>18.337312519130702</v>
      </c>
      <c r="L11" s="191">
        <f t="shared" si="1"/>
        <v>18.337312519130702</v>
      </c>
      <c r="M11" s="86"/>
      <c r="N11" s="86"/>
      <c r="O11" s="92" t="s">
        <v>25</v>
      </c>
      <c r="P11" s="191">
        <f t="shared" si="2"/>
        <v>18.337312519130702</v>
      </c>
      <c r="Q11" s="193">
        <v>10</v>
      </c>
    </row>
    <row r="12" spans="1:18" x14ac:dyDescent="0.3">
      <c r="A12" s="133" t="s">
        <v>926</v>
      </c>
      <c r="B12" s="153" t="s">
        <v>939</v>
      </c>
      <c r="C12" s="149" t="s">
        <v>928</v>
      </c>
      <c r="D12" s="87">
        <v>2.5299999999999998</v>
      </c>
      <c r="E12" s="88">
        <v>20</v>
      </c>
      <c r="F12" s="89" t="s">
        <v>244</v>
      </c>
      <c r="G12" s="89"/>
      <c r="H12" s="88">
        <v>199</v>
      </c>
      <c r="I12" s="190"/>
      <c r="J12" s="191"/>
      <c r="K12" s="191">
        <f t="shared" si="0"/>
        <v>19.26298157453936</v>
      </c>
      <c r="L12" s="191">
        <f t="shared" si="1"/>
        <v>19.26298157453936</v>
      </c>
      <c r="M12" s="86"/>
      <c r="N12" s="86"/>
      <c r="O12" s="92" t="s">
        <v>25</v>
      </c>
      <c r="P12" s="191">
        <f t="shared" si="2"/>
        <v>19.26298157453936</v>
      </c>
      <c r="Q12" s="193">
        <v>100</v>
      </c>
    </row>
    <row r="13" spans="1:18" x14ac:dyDescent="0.3">
      <c r="A13" s="133" t="s">
        <v>926</v>
      </c>
      <c r="B13" s="153" t="s">
        <v>940</v>
      </c>
      <c r="C13" s="149" t="s">
        <v>930</v>
      </c>
      <c r="D13" s="87">
        <v>3.3</v>
      </c>
      <c r="E13" s="88">
        <v>20</v>
      </c>
      <c r="F13" s="89" t="s">
        <v>247</v>
      </c>
      <c r="G13" s="89"/>
      <c r="H13" s="88">
        <v>198</v>
      </c>
      <c r="I13" s="190"/>
      <c r="J13" s="191"/>
      <c r="K13" s="191">
        <f t="shared" si="0"/>
        <v>25.252525252525253</v>
      </c>
      <c r="L13" s="191">
        <f t="shared" si="1"/>
        <v>25.252525252525253</v>
      </c>
      <c r="M13" s="86"/>
      <c r="N13" s="86"/>
      <c r="O13" s="92" t="s">
        <v>25</v>
      </c>
      <c r="P13" s="191">
        <f t="shared" si="2"/>
        <v>25.252525252525253</v>
      </c>
      <c r="Q13" s="193">
        <v>10</v>
      </c>
    </row>
    <row r="14" spans="1:18" x14ac:dyDescent="0.3">
      <c r="A14" s="133" t="s">
        <v>926</v>
      </c>
      <c r="B14" s="153" t="s">
        <v>941</v>
      </c>
      <c r="C14" s="149" t="s">
        <v>932</v>
      </c>
      <c r="D14" s="87">
        <v>3.1212</v>
      </c>
      <c r="E14" s="88">
        <v>20</v>
      </c>
      <c r="F14" s="89" t="s">
        <v>250</v>
      </c>
      <c r="G14" s="89"/>
      <c r="H14" s="88">
        <v>197</v>
      </c>
      <c r="I14" s="190"/>
      <c r="J14" s="191"/>
      <c r="K14" s="191">
        <f t="shared" si="0"/>
        <v>24.005537609598523</v>
      </c>
      <c r="L14" s="191">
        <f t="shared" si="1"/>
        <v>24.005537609598523</v>
      </c>
      <c r="M14" s="86"/>
      <c r="N14" s="86"/>
      <c r="O14" s="92" t="s">
        <v>25</v>
      </c>
      <c r="P14" s="191">
        <f t="shared" si="2"/>
        <v>24.005537609598523</v>
      </c>
      <c r="Q14" s="193">
        <v>100</v>
      </c>
    </row>
    <row r="15" spans="1:18" x14ac:dyDescent="0.3">
      <c r="A15" s="133" t="s">
        <v>926</v>
      </c>
      <c r="B15" s="153" t="s">
        <v>942</v>
      </c>
      <c r="C15" s="149" t="s">
        <v>934</v>
      </c>
      <c r="D15" s="87">
        <v>0.1</v>
      </c>
      <c r="E15" s="88">
        <v>20</v>
      </c>
      <c r="F15" s="89" t="s">
        <v>253</v>
      </c>
      <c r="G15" s="89"/>
      <c r="H15" s="88">
        <v>198</v>
      </c>
      <c r="I15" s="190"/>
      <c r="J15" s="191"/>
      <c r="K15" s="191">
        <f t="shared" si="0"/>
        <v>0.76522803795531069</v>
      </c>
      <c r="L15" s="191">
        <f t="shared" si="1"/>
        <v>0.76522803795531069</v>
      </c>
      <c r="M15" s="86"/>
      <c r="N15" s="86"/>
      <c r="O15" s="92" t="s">
        <v>25</v>
      </c>
      <c r="P15" s="191">
        <f t="shared" si="2"/>
        <v>0.76522803795531069</v>
      </c>
      <c r="Q15" s="193">
        <v>10</v>
      </c>
    </row>
    <row r="16" spans="1:18" x14ac:dyDescent="0.3">
      <c r="A16" s="133" t="s">
        <v>926</v>
      </c>
      <c r="B16" s="153" t="s">
        <v>943</v>
      </c>
      <c r="C16" s="149" t="s">
        <v>936</v>
      </c>
      <c r="D16" s="87">
        <v>0.1</v>
      </c>
      <c r="E16" s="88">
        <v>20</v>
      </c>
      <c r="F16" s="89" t="s">
        <v>256</v>
      </c>
      <c r="G16" s="89"/>
      <c r="H16" s="88">
        <v>196</v>
      </c>
      <c r="I16" s="190"/>
      <c r="J16" s="191"/>
      <c r="K16" s="191">
        <f t="shared" si="0"/>
        <v>0.77303648732220165</v>
      </c>
      <c r="L16" s="191">
        <f t="shared" si="1"/>
        <v>0.77303648732220165</v>
      </c>
      <c r="M16" s="86"/>
      <c r="N16" s="86"/>
      <c r="O16" s="92" t="s">
        <v>25</v>
      </c>
      <c r="P16" s="191">
        <f t="shared" si="2"/>
        <v>0.77303648732220165</v>
      </c>
      <c r="Q16" s="193">
        <v>100</v>
      </c>
    </row>
    <row r="17" spans="1:18" x14ac:dyDescent="0.3">
      <c r="A17" s="133" t="s">
        <v>926</v>
      </c>
      <c r="B17" s="153" t="s">
        <v>944</v>
      </c>
      <c r="C17" s="149" t="s">
        <v>938</v>
      </c>
      <c r="D17" s="87">
        <v>0.1</v>
      </c>
      <c r="E17" s="88">
        <v>20</v>
      </c>
      <c r="F17" s="89" t="s">
        <v>259</v>
      </c>
      <c r="G17" s="89"/>
      <c r="H17" s="88">
        <v>197</v>
      </c>
      <c r="I17" s="190"/>
      <c r="J17" s="191"/>
      <c r="K17" s="191">
        <f t="shared" si="0"/>
        <v>0.76911244423934777</v>
      </c>
      <c r="L17" s="191">
        <f t="shared" si="1"/>
        <v>0.76911244423934777</v>
      </c>
      <c r="M17" s="86"/>
      <c r="N17" s="86"/>
      <c r="O17" s="92" t="s">
        <v>25</v>
      </c>
      <c r="P17" s="191">
        <f t="shared" si="2"/>
        <v>0.76911244423934777</v>
      </c>
      <c r="Q17" s="193">
        <v>10</v>
      </c>
    </row>
    <row r="18" spans="1:18" x14ac:dyDescent="0.3">
      <c r="A18" s="133"/>
      <c r="B18" s="153"/>
      <c r="C18" s="149"/>
      <c r="D18" s="87"/>
      <c r="E18" s="88"/>
      <c r="F18" s="89"/>
      <c r="G18" s="89"/>
      <c r="H18" s="88"/>
      <c r="I18" s="190"/>
      <c r="J18" s="191"/>
      <c r="K18" s="191"/>
      <c r="L18" s="191"/>
      <c r="M18" s="86"/>
      <c r="N18" s="86"/>
      <c r="O18" s="92" t="s">
        <v>25</v>
      </c>
      <c r="P18" s="191">
        <f t="shared" si="2"/>
        <v>0</v>
      </c>
      <c r="Q18" s="193">
        <v>0</v>
      </c>
    </row>
    <row r="19" spans="1:18" x14ac:dyDescent="0.3">
      <c r="A19" s="133"/>
      <c r="B19" s="153"/>
      <c r="C19" s="149"/>
      <c r="D19" s="87"/>
      <c r="E19" s="88"/>
      <c r="F19" s="89"/>
      <c r="G19" s="89"/>
      <c r="H19" s="88"/>
      <c r="I19" s="190"/>
      <c r="J19" s="191"/>
      <c r="K19" s="191"/>
      <c r="L19" s="191"/>
      <c r="M19" s="86"/>
      <c r="N19" s="86"/>
      <c r="O19" s="92" t="s">
        <v>25</v>
      </c>
      <c r="P19" s="191">
        <f t="shared" si="2"/>
        <v>0</v>
      </c>
      <c r="Q19" s="193">
        <v>0</v>
      </c>
    </row>
    <row r="20" spans="1:18" x14ac:dyDescent="0.3">
      <c r="A20" s="133"/>
      <c r="B20" s="153"/>
      <c r="C20" s="149"/>
      <c r="D20" s="87"/>
      <c r="E20" s="88"/>
      <c r="F20" s="89"/>
      <c r="G20" s="89"/>
      <c r="H20" s="88"/>
      <c r="I20" s="190"/>
      <c r="J20" s="191"/>
      <c r="K20" s="191"/>
      <c r="L20" s="191"/>
      <c r="M20" s="86"/>
      <c r="N20" s="86"/>
      <c r="O20" s="92" t="s">
        <v>25</v>
      </c>
      <c r="P20" s="191">
        <f t="shared" si="2"/>
        <v>0</v>
      </c>
      <c r="Q20" s="193">
        <v>0</v>
      </c>
    </row>
    <row r="21" spans="1:18" x14ac:dyDescent="0.3">
      <c r="A21" s="133"/>
      <c r="B21" s="153"/>
      <c r="C21" s="149"/>
      <c r="D21" s="87"/>
      <c r="E21" s="88"/>
      <c r="F21" s="89"/>
      <c r="G21" s="89"/>
      <c r="H21" s="88"/>
      <c r="I21" s="190"/>
      <c r="J21" s="191"/>
      <c r="K21" s="191"/>
      <c r="L21" s="191"/>
      <c r="M21" s="86"/>
      <c r="N21" s="86"/>
      <c r="O21" s="92" t="s">
        <v>25</v>
      </c>
      <c r="P21" s="191">
        <f t="shared" si="2"/>
        <v>0</v>
      </c>
      <c r="Q21" s="193">
        <v>0</v>
      </c>
    </row>
    <row r="22" spans="1:18" x14ac:dyDescent="0.3">
      <c r="A22" s="133"/>
      <c r="B22" s="153"/>
      <c r="C22" s="149"/>
      <c r="D22" s="87"/>
      <c r="E22" s="88"/>
      <c r="F22" s="89"/>
      <c r="G22" s="89"/>
      <c r="H22" s="88"/>
      <c r="I22" s="190"/>
      <c r="J22" s="191"/>
      <c r="K22" s="191"/>
      <c r="L22" s="191"/>
      <c r="M22" s="86"/>
      <c r="N22" s="86"/>
      <c r="O22" s="92" t="s">
        <v>25</v>
      </c>
      <c r="P22" s="191">
        <f t="shared" ref="P22:P36" si="3">IF(ISNUMBER(O22),O22,K22)</f>
        <v>0</v>
      </c>
      <c r="Q22" s="193">
        <v>0</v>
      </c>
    </row>
    <row r="23" spans="1:18" x14ac:dyDescent="0.3">
      <c r="A23" s="133"/>
      <c r="B23" s="153"/>
      <c r="C23" s="149"/>
      <c r="D23" s="87"/>
      <c r="E23" s="88"/>
      <c r="F23" s="89"/>
      <c r="G23" s="89"/>
      <c r="H23" s="88"/>
      <c r="I23" s="190"/>
      <c r="J23" s="191"/>
      <c r="K23" s="191"/>
      <c r="L23" s="191"/>
      <c r="M23" s="86"/>
      <c r="N23" s="86"/>
      <c r="O23" s="92" t="s">
        <v>25</v>
      </c>
      <c r="P23" s="191">
        <f t="shared" si="3"/>
        <v>0</v>
      </c>
      <c r="Q23" s="193">
        <v>0</v>
      </c>
    </row>
    <row r="24" spans="1:18" x14ac:dyDescent="0.3">
      <c r="A24" s="133"/>
      <c r="B24" s="153"/>
      <c r="C24" s="149"/>
      <c r="D24" s="87"/>
      <c r="E24" s="88"/>
      <c r="F24" s="89"/>
      <c r="G24" s="89"/>
      <c r="H24" s="88"/>
      <c r="I24" s="190"/>
      <c r="J24" s="191"/>
      <c r="K24" s="191"/>
      <c r="L24" s="191"/>
      <c r="M24" s="86"/>
      <c r="N24" s="86"/>
      <c r="O24" s="92" t="s">
        <v>25</v>
      </c>
      <c r="P24" s="191">
        <f t="shared" si="3"/>
        <v>0</v>
      </c>
      <c r="Q24" s="193">
        <v>0</v>
      </c>
    </row>
    <row r="25" spans="1:18" x14ac:dyDescent="0.3">
      <c r="A25" s="133"/>
      <c r="B25" s="153"/>
      <c r="C25" s="149"/>
      <c r="D25" s="87"/>
      <c r="E25" s="88"/>
      <c r="F25" s="89"/>
      <c r="G25" s="89"/>
      <c r="H25" s="88"/>
      <c r="I25" s="190"/>
      <c r="J25" s="191"/>
      <c r="K25" s="191"/>
      <c r="L25" s="191"/>
      <c r="M25" s="86"/>
      <c r="N25" s="86"/>
      <c r="O25" s="92" t="s">
        <v>25</v>
      </c>
      <c r="P25" s="191">
        <f t="shared" si="3"/>
        <v>0</v>
      </c>
      <c r="Q25" s="193">
        <v>0</v>
      </c>
    </row>
    <row r="26" spans="1:18" x14ac:dyDescent="0.3">
      <c r="A26" s="133"/>
      <c r="B26" s="153"/>
      <c r="C26" s="149"/>
      <c r="D26" s="87"/>
      <c r="E26" s="88"/>
      <c r="F26" s="89"/>
      <c r="G26" s="89"/>
      <c r="H26" s="88"/>
      <c r="I26" s="190"/>
      <c r="J26" s="191"/>
      <c r="K26" s="191"/>
      <c r="L26" s="191"/>
      <c r="M26" s="86"/>
      <c r="N26" s="86"/>
      <c r="O26" s="92" t="s">
        <v>25</v>
      </c>
      <c r="P26" s="191">
        <f t="shared" si="3"/>
        <v>0</v>
      </c>
      <c r="Q26" s="193">
        <v>0</v>
      </c>
    </row>
    <row r="27" spans="1:18" x14ac:dyDescent="0.3">
      <c r="A27" s="133"/>
      <c r="B27" s="153"/>
      <c r="C27" s="149"/>
      <c r="D27" s="87"/>
      <c r="E27" s="88"/>
      <c r="F27" s="89"/>
      <c r="G27" s="89"/>
      <c r="H27" s="88"/>
      <c r="I27" s="190"/>
      <c r="J27" s="191"/>
      <c r="K27" s="191"/>
      <c r="L27" s="191"/>
      <c r="M27" s="86"/>
      <c r="N27" s="86"/>
      <c r="O27" s="92" t="s">
        <v>25</v>
      </c>
      <c r="P27" s="191">
        <f t="shared" si="3"/>
        <v>0</v>
      </c>
      <c r="Q27" s="193">
        <v>0</v>
      </c>
    </row>
    <row r="28" spans="1:18" x14ac:dyDescent="0.3">
      <c r="A28" s="133"/>
      <c r="B28" s="153"/>
      <c r="C28" s="149"/>
      <c r="D28" s="87"/>
      <c r="E28" s="88"/>
      <c r="F28" s="89"/>
      <c r="G28" s="89"/>
      <c r="H28" s="88"/>
      <c r="I28" s="190"/>
      <c r="J28" s="191"/>
      <c r="K28" s="191"/>
      <c r="L28" s="191"/>
      <c r="M28" s="86"/>
      <c r="N28" s="86"/>
      <c r="O28" s="92" t="s">
        <v>25</v>
      </c>
      <c r="P28" s="191">
        <f t="shared" si="3"/>
        <v>0</v>
      </c>
      <c r="Q28" s="193">
        <v>0</v>
      </c>
    </row>
    <row r="29" spans="1:18" x14ac:dyDescent="0.3">
      <c r="A29" s="133"/>
      <c r="B29" s="153"/>
      <c r="C29" s="149"/>
      <c r="D29" s="87"/>
      <c r="E29" s="88"/>
      <c r="F29" s="89"/>
      <c r="G29" s="89"/>
      <c r="H29" s="88"/>
      <c r="I29" s="190"/>
      <c r="J29" s="191"/>
      <c r="K29" s="191"/>
      <c r="L29" s="191"/>
      <c r="M29" s="86"/>
      <c r="N29" s="86"/>
      <c r="O29" s="92" t="s">
        <v>25</v>
      </c>
      <c r="P29" s="191">
        <f t="shared" si="3"/>
        <v>0</v>
      </c>
      <c r="Q29" s="193">
        <v>0</v>
      </c>
    </row>
    <row r="30" spans="1:18" x14ac:dyDescent="0.3">
      <c r="A30" s="133"/>
      <c r="B30" s="153"/>
      <c r="C30" s="149"/>
      <c r="D30" s="87"/>
      <c r="E30" s="88"/>
      <c r="F30" s="89"/>
      <c r="G30" s="89"/>
      <c r="H30" s="88"/>
      <c r="I30" s="190"/>
      <c r="J30" s="191"/>
      <c r="K30" s="191"/>
      <c r="L30" s="191"/>
      <c r="M30" s="86"/>
      <c r="N30" s="86"/>
      <c r="O30" s="92" t="s">
        <v>25</v>
      </c>
      <c r="P30" s="191">
        <f t="shared" si="3"/>
        <v>0</v>
      </c>
      <c r="Q30" s="193">
        <v>0</v>
      </c>
    </row>
    <row r="31" spans="1:18" x14ac:dyDescent="0.3">
      <c r="A31" s="133"/>
      <c r="B31" s="153"/>
      <c r="C31" s="149"/>
      <c r="D31" s="87"/>
      <c r="E31" s="88"/>
      <c r="F31" s="89"/>
      <c r="G31" s="89"/>
      <c r="H31" s="88"/>
      <c r="I31" s="190"/>
      <c r="J31" s="191"/>
      <c r="K31" s="191"/>
      <c r="L31" s="191"/>
      <c r="M31" s="86"/>
      <c r="N31" s="86"/>
      <c r="O31" s="92" t="s">
        <v>25</v>
      </c>
      <c r="P31" s="191">
        <f t="shared" si="3"/>
        <v>0</v>
      </c>
      <c r="Q31" s="193">
        <v>0</v>
      </c>
      <c r="R31" t="s">
        <v>26</v>
      </c>
    </row>
    <row r="32" spans="1:18" x14ac:dyDescent="0.3">
      <c r="A32" s="133"/>
      <c r="B32" s="153"/>
      <c r="C32" s="149"/>
      <c r="D32" s="87"/>
      <c r="E32" s="88"/>
      <c r="F32" s="89"/>
      <c r="G32" s="89"/>
      <c r="H32" s="88"/>
      <c r="I32" s="190"/>
      <c r="J32" s="191"/>
      <c r="K32" s="191"/>
      <c r="L32" s="191"/>
      <c r="M32" s="86"/>
      <c r="N32" s="86"/>
      <c r="O32" s="92" t="s">
        <v>25</v>
      </c>
      <c r="P32" s="191">
        <f t="shared" si="3"/>
        <v>0</v>
      </c>
      <c r="Q32" s="193">
        <v>0</v>
      </c>
    </row>
    <row r="33" spans="1:17" x14ac:dyDescent="0.3">
      <c r="A33" s="133"/>
      <c r="B33" s="153"/>
      <c r="C33" s="149"/>
      <c r="D33" s="87"/>
      <c r="E33" s="88"/>
      <c r="F33" s="89"/>
      <c r="G33" s="89"/>
      <c r="H33" s="88"/>
      <c r="I33" s="190"/>
      <c r="J33" s="191"/>
      <c r="K33" s="191"/>
      <c r="L33" s="191"/>
      <c r="M33" s="86"/>
      <c r="N33" s="86"/>
      <c r="O33" s="92" t="s">
        <v>25</v>
      </c>
      <c r="P33" s="191">
        <f t="shared" si="3"/>
        <v>0</v>
      </c>
      <c r="Q33" s="193">
        <v>0</v>
      </c>
    </row>
    <row r="34" spans="1:17" x14ac:dyDescent="0.3">
      <c r="A34" s="133"/>
      <c r="B34" s="153"/>
      <c r="C34" s="149"/>
      <c r="D34" s="87"/>
      <c r="E34" s="88"/>
      <c r="F34" s="89"/>
      <c r="G34" s="89"/>
      <c r="H34" s="88"/>
      <c r="I34" s="190"/>
      <c r="J34" s="191"/>
      <c r="K34" s="191"/>
      <c r="L34" s="191"/>
      <c r="M34" s="86"/>
      <c r="N34" s="86"/>
      <c r="O34" s="92" t="s">
        <v>25</v>
      </c>
      <c r="P34" s="191">
        <f t="shared" si="3"/>
        <v>0</v>
      </c>
      <c r="Q34" s="193">
        <v>0</v>
      </c>
    </row>
    <row r="35" spans="1:17" x14ac:dyDescent="0.3">
      <c r="A35" s="133"/>
      <c r="B35" s="153"/>
      <c r="C35" s="149"/>
      <c r="D35" s="87"/>
      <c r="E35" s="88"/>
      <c r="F35" s="89"/>
      <c r="G35" s="89"/>
      <c r="H35" s="88"/>
      <c r="I35" s="190"/>
      <c r="J35" s="191"/>
      <c r="K35" s="191"/>
      <c r="L35" s="191"/>
      <c r="M35" s="86"/>
      <c r="N35" s="86"/>
      <c r="O35" s="92" t="s">
        <v>25</v>
      </c>
      <c r="P35" s="191">
        <f t="shared" si="3"/>
        <v>0</v>
      </c>
      <c r="Q35" s="193">
        <v>0</v>
      </c>
    </row>
    <row r="36" spans="1:17" x14ac:dyDescent="0.3">
      <c r="A36" s="133"/>
      <c r="B36" s="154"/>
      <c r="C36" s="149"/>
      <c r="D36" s="87"/>
      <c r="E36" s="88"/>
      <c r="F36" s="89"/>
      <c r="G36" s="89"/>
      <c r="H36" s="88"/>
      <c r="I36" s="190"/>
      <c r="J36" s="191"/>
      <c r="K36" s="191"/>
      <c r="L36" s="191"/>
      <c r="M36" s="86"/>
      <c r="N36" s="86"/>
      <c r="O36" s="92" t="s">
        <v>25</v>
      </c>
      <c r="P36" s="191">
        <f t="shared" si="3"/>
        <v>0</v>
      </c>
      <c r="Q36" s="193">
        <v>0</v>
      </c>
    </row>
    <row r="37" spans="1:17" x14ac:dyDescent="0.3">
      <c r="A37" s="133"/>
      <c r="B37" s="154"/>
      <c r="C37" s="149"/>
      <c r="D37" s="87"/>
      <c r="E37" s="88"/>
      <c r="F37" s="89"/>
      <c r="G37" s="89"/>
      <c r="H37" s="88"/>
      <c r="I37" s="190"/>
      <c r="J37" s="191"/>
      <c r="K37" s="191"/>
      <c r="L37" s="191"/>
      <c r="M37" s="86"/>
      <c r="N37" s="86"/>
      <c r="O37" s="92" t="s">
        <v>25</v>
      </c>
      <c r="P37" s="191">
        <f t="shared" ref="P37:P69" si="4">IF(ISNUMBER(O37),O37,K37)</f>
        <v>0</v>
      </c>
      <c r="Q37" s="193">
        <v>0</v>
      </c>
    </row>
    <row r="38" spans="1:17" x14ac:dyDescent="0.3">
      <c r="A38" s="133"/>
      <c r="B38" s="154"/>
      <c r="C38" s="149"/>
      <c r="D38" s="87"/>
      <c r="E38" s="88"/>
      <c r="F38" s="89"/>
      <c r="G38" s="89"/>
      <c r="H38" s="88"/>
      <c r="I38" s="190"/>
      <c r="J38" s="191"/>
      <c r="K38" s="191"/>
      <c r="L38" s="191"/>
      <c r="M38" s="86"/>
      <c r="N38" s="86"/>
      <c r="O38" s="92" t="s">
        <v>25</v>
      </c>
      <c r="P38" s="191">
        <f t="shared" si="4"/>
        <v>0</v>
      </c>
      <c r="Q38" s="193">
        <v>0</v>
      </c>
    </row>
    <row r="39" spans="1:17" x14ac:dyDescent="0.3">
      <c r="A39" s="204" t="s">
        <v>523</v>
      </c>
      <c r="B39" s="154"/>
      <c r="C39" s="149"/>
      <c r="D39" s="87"/>
      <c r="E39" s="88"/>
      <c r="F39" s="89"/>
      <c r="G39" s="89"/>
      <c r="H39" s="88"/>
      <c r="I39" s="190"/>
      <c r="J39" s="191"/>
      <c r="K39" s="191"/>
      <c r="L39" s="191"/>
      <c r="M39" s="86"/>
      <c r="N39" s="86"/>
      <c r="O39" s="92" t="s">
        <v>25</v>
      </c>
      <c r="P39" s="191">
        <f t="shared" si="4"/>
        <v>0</v>
      </c>
      <c r="Q39" s="193">
        <v>0</v>
      </c>
    </row>
    <row r="40" spans="1:17" x14ac:dyDescent="0.3">
      <c r="A40" s="133"/>
      <c r="B40" s="154"/>
      <c r="C40" s="149"/>
      <c r="D40" s="87"/>
      <c r="E40" s="88"/>
      <c r="F40" s="89"/>
      <c r="G40" s="89"/>
      <c r="H40" s="88"/>
      <c r="I40" s="190"/>
      <c r="J40" s="191"/>
      <c r="K40" s="191"/>
      <c r="L40" s="191"/>
      <c r="M40" s="86"/>
      <c r="N40" s="86"/>
      <c r="O40" s="92" t="s">
        <v>25</v>
      </c>
      <c r="P40" s="191">
        <f t="shared" si="4"/>
        <v>0</v>
      </c>
      <c r="Q40" s="193">
        <v>0</v>
      </c>
    </row>
    <row r="41" spans="1:17" x14ac:dyDescent="0.3">
      <c r="A41" s="133"/>
      <c r="B41" s="154"/>
      <c r="C41" s="149"/>
      <c r="D41" s="87"/>
      <c r="E41" s="88"/>
      <c r="F41" s="89"/>
      <c r="G41" s="89"/>
      <c r="H41" s="88"/>
      <c r="I41" s="190"/>
      <c r="J41" s="191"/>
      <c r="K41" s="191"/>
      <c r="L41" s="191"/>
      <c r="M41" s="86"/>
      <c r="N41" s="86"/>
      <c r="O41" s="92" t="s">
        <v>25</v>
      </c>
      <c r="P41" s="191">
        <f t="shared" si="4"/>
        <v>0</v>
      </c>
      <c r="Q41" s="193">
        <v>0</v>
      </c>
    </row>
    <row r="42" spans="1:17" x14ac:dyDescent="0.3">
      <c r="A42" s="133"/>
      <c r="B42" s="154"/>
      <c r="C42" s="149"/>
      <c r="D42" s="87"/>
      <c r="E42" s="88"/>
      <c r="F42" s="89"/>
      <c r="G42" s="89"/>
      <c r="H42" s="88"/>
      <c r="I42" s="190"/>
      <c r="J42" s="191"/>
      <c r="K42" s="191"/>
      <c r="L42" s="191"/>
      <c r="M42" s="86"/>
      <c r="N42" s="86"/>
      <c r="O42" s="92" t="s">
        <v>25</v>
      </c>
      <c r="P42" s="191">
        <f t="shared" si="4"/>
        <v>0</v>
      </c>
      <c r="Q42" s="193">
        <v>0</v>
      </c>
    </row>
    <row r="43" spans="1:17" x14ac:dyDescent="0.3">
      <c r="A43" s="133"/>
      <c r="B43" s="154"/>
      <c r="C43" s="149"/>
      <c r="D43" s="87"/>
      <c r="E43" s="88"/>
      <c r="F43" s="89"/>
      <c r="G43" s="89"/>
      <c r="H43" s="88"/>
      <c r="I43" s="190"/>
      <c r="J43" s="191"/>
      <c r="K43" s="191"/>
      <c r="L43" s="191"/>
      <c r="M43" s="86"/>
      <c r="N43" s="86"/>
      <c r="O43" s="92" t="s">
        <v>25</v>
      </c>
      <c r="P43" s="191">
        <f t="shared" si="4"/>
        <v>0</v>
      </c>
      <c r="Q43" s="193">
        <v>0</v>
      </c>
    </row>
    <row r="44" spans="1:17" x14ac:dyDescent="0.3">
      <c r="A44" s="133"/>
      <c r="B44" s="154"/>
      <c r="C44" s="149"/>
      <c r="D44" s="87"/>
      <c r="E44" s="88"/>
      <c r="F44" s="89"/>
      <c r="G44" s="89"/>
      <c r="H44" s="88"/>
      <c r="I44" s="190"/>
      <c r="J44" s="191"/>
      <c r="K44" s="191"/>
      <c r="L44" s="191"/>
      <c r="M44" s="86"/>
      <c r="N44" s="86"/>
      <c r="O44" s="92" t="s">
        <v>25</v>
      </c>
      <c r="P44" s="191">
        <f t="shared" si="4"/>
        <v>0</v>
      </c>
      <c r="Q44" s="193">
        <v>0</v>
      </c>
    </row>
    <row r="45" spans="1:17" x14ac:dyDescent="0.3">
      <c r="A45" s="133"/>
      <c r="B45" s="154"/>
      <c r="C45" s="149"/>
      <c r="D45" s="87"/>
      <c r="E45" s="88"/>
      <c r="F45" s="89"/>
      <c r="G45" s="89"/>
      <c r="H45" s="88"/>
      <c r="I45" s="190"/>
      <c r="J45" s="191"/>
      <c r="K45" s="191"/>
      <c r="L45" s="191"/>
      <c r="M45" s="86"/>
      <c r="N45" s="86"/>
      <c r="O45" s="92" t="s">
        <v>25</v>
      </c>
      <c r="P45" s="191">
        <f t="shared" si="4"/>
        <v>0</v>
      </c>
      <c r="Q45" s="193">
        <v>0</v>
      </c>
    </row>
    <row r="46" spans="1:17" x14ac:dyDescent="0.3">
      <c r="A46" s="133"/>
      <c r="B46" s="154"/>
      <c r="C46" s="149"/>
      <c r="D46" s="87"/>
      <c r="E46" s="88"/>
      <c r="F46" s="89"/>
      <c r="G46" s="89"/>
      <c r="H46" s="88"/>
      <c r="I46" s="190"/>
      <c r="J46" s="191"/>
      <c r="K46" s="191"/>
      <c r="L46" s="191"/>
      <c r="M46" s="86"/>
      <c r="N46" s="86"/>
      <c r="O46" s="92" t="s">
        <v>25</v>
      </c>
      <c r="P46" s="191">
        <f t="shared" si="4"/>
        <v>0</v>
      </c>
      <c r="Q46" s="193">
        <v>0</v>
      </c>
    </row>
    <row r="47" spans="1:17" x14ac:dyDescent="0.3">
      <c r="A47" s="133"/>
      <c r="B47" s="154"/>
      <c r="C47" s="149"/>
      <c r="D47" s="87"/>
      <c r="E47" s="88"/>
      <c r="F47" s="89"/>
      <c r="G47" s="89"/>
      <c r="H47" s="88"/>
      <c r="I47" s="190"/>
      <c r="J47" s="191"/>
      <c r="K47" s="191"/>
      <c r="L47" s="191"/>
      <c r="M47" s="86"/>
      <c r="N47" s="86"/>
      <c r="O47" s="92" t="s">
        <v>25</v>
      </c>
      <c r="P47" s="191">
        <f t="shared" si="4"/>
        <v>0</v>
      </c>
      <c r="Q47" s="193">
        <v>0</v>
      </c>
    </row>
    <row r="48" spans="1:17" x14ac:dyDescent="0.3">
      <c r="A48" s="133"/>
      <c r="B48" s="154"/>
      <c r="C48" s="149"/>
      <c r="D48" s="87"/>
      <c r="E48" s="88"/>
      <c r="F48" s="89"/>
      <c r="G48" s="89"/>
      <c r="H48" s="88"/>
      <c r="I48" s="190"/>
      <c r="J48" s="191"/>
      <c r="K48" s="191"/>
      <c r="L48" s="191"/>
      <c r="M48" s="86"/>
      <c r="N48" s="86"/>
      <c r="O48" s="92" t="s">
        <v>25</v>
      </c>
      <c r="P48" s="191">
        <f t="shared" si="4"/>
        <v>0</v>
      </c>
      <c r="Q48" s="193">
        <v>0</v>
      </c>
    </row>
    <row r="49" spans="1:17" x14ac:dyDescent="0.3">
      <c r="A49" s="133"/>
      <c r="B49" s="154"/>
      <c r="C49" s="149"/>
      <c r="D49" s="87"/>
      <c r="E49" s="88"/>
      <c r="F49" s="89"/>
      <c r="G49" s="89"/>
      <c r="H49" s="88"/>
      <c r="I49" s="190"/>
      <c r="J49" s="191"/>
      <c r="K49" s="191"/>
      <c r="L49" s="191"/>
      <c r="M49" s="86"/>
      <c r="N49" s="86"/>
      <c r="O49" s="92" t="s">
        <v>25</v>
      </c>
      <c r="P49" s="191">
        <f t="shared" si="4"/>
        <v>0</v>
      </c>
      <c r="Q49" s="193">
        <v>0</v>
      </c>
    </row>
    <row r="50" spans="1:17" x14ac:dyDescent="0.3">
      <c r="A50" s="133"/>
      <c r="B50" s="154"/>
      <c r="C50" s="149"/>
      <c r="D50" s="87"/>
      <c r="E50" s="88"/>
      <c r="F50" s="89"/>
      <c r="G50" s="89"/>
      <c r="H50" s="88"/>
      <c r="I50" s="190"/>
      <c r="J50" s="191"/>
      <c r="K50" s="191"/>
      <c r="L50" s="191"/>
      <c r="M50" s="86"/>
      <c r="N50" s="86"/>
      <c r="O50" s="92" t="s">
        <v>25</v>
      </c>
      <c r="P50" s="191">
        <f t="shared" si="4"/>
        <v>0</v>
      </c>
      <c r="Q50" s="193">
        <v>0</v>
      </c>
    </row>
    <row r="51" spans="1:17" x14ac:dyDescent="0.3">
      <c r="A51" s="133"/>
      <c r="B51" s="154"/>
      <c r="C51" s="149"/>
      <c r="D51" s="87"/>
      <c r="E51" s="88"/>
      <c r="F51" s="89"/>
      <c r="G51" s="89"/>
      <c r="H51" s="88"/>
      <c r="I51" s="190"/>
      <c r="J51" s="191"/>
      <c r="K51" s="191"/>
      <c r="L51" s="191"/>
      <c r="M51" s="86"/>
      <c r="N51" s="86"/>
      <c r="O51" s="92" t="s">
        <v>25</v>
      </c>
      <c r="P51" s="191">
        <f t="shared" si="4"/>
        <v>0</v>
      </c>
      <c r="Q51" s="193">
        <v>0</v>
      </c>
    </row>
    <row r="52" spans="1:17" x14ac:dyDescent="0.3">
      <c r="A52" s="133"/>
      <c r="B52" s="154"/>
      <c r="C52" s="149"/>
      <c r="D52" s="87"/>
      <c r="E52" s="88"/>
      <c r="F52" s="89"/>
      <c r="G52" s="89"/>
      <c r="H52" s="88"/>
      <c r="I52" s="190"/>
      <c r="J52" s="191"/>
      <c r="K52" s="191"/>
      <c r="L52" s="191"/>
      <c r="M52" s="86"/>
      <c r="N52" s="86"/>
      <c r="O52" s="92" t="s">
        <v>25</v>
      </c>
      <c r="P52" s="191">
        <f t="shared" si="4"/>
        <v>0</v>
      </c>
      <c r="Q52" s="193">
        <v>0</v>
      </c>
    </row>
    <row r="53" spans="1:17" x14ac:dyDescent="0.3">
      <c r="A53" s="133"/>
      <c r="B53" s="154"/>
      <c r="C53" s="149"/>
      <c r="D53" s="87"/>
      <c r="E53" s="88"/>
      <c r="F53" s="89"/>
      <c r="G53" s="89"/>
      <c r="H53" s="88"/>
      <c r="I53" s="190"/>
      <c r="J53" s="191"/>
      <c r="K53" s="191"/>
      <c r="L53" s="191"/>
      <c r="M53" s="86"/>
      <c r="N53" s="86"/>
      <c r="O53" s="92" t="s">
        <v>25</v>
      </c>
      <c r="P53" s="191">
        <f t="shared" si="4"/>
        <v>0</v>
      </c>
      <c r="Q53" s="193">
        <v>0</v>
      </c>
    </row>
    <row r="54" spans="1:17" x14ac:dyDescent="0.3">
      <c r="A54" s="133"/>
      <c r="B54" s="154"/>
      <c r="C54" s="149"/>
      <c r="D54" s="87"/>
      <c r="E54" s="88"/>
      <c r="F54" s="89"/>
      <c r="G54" s="89"/>
      <c r="H54" s="88"/>
      <c r="I54" s="190"/>
      <c r="J54" s="191"/>
      <c r="K54" s="191"/>
      <c r="L54" s="191"/>
      <c r="M54" s="86"/>
      <c r="N54" s="86"/>
      <c r="O54" s="92" t="s">
        <v>25</v>
      </c>
      <c r="P54" s="191">
        <f t="shared" si="4"/>
        <v>0</v>
      </c>
      <c r="Q54" s="193">
        <v>0</v>
      </c>
    </row>
    <row r="55" spans="1:17" x14ac:dyDescent="0.3">
      <c r="A55" s="133"/>
      <c r="B55" s="154"/>
      <c r="C55" s="149"/>
      <c r="D55" s="87"/>
      <c r="E55" s="88"/>
      <c r="F55" s="89"/>
      <c r="G55" s="89"/>
      <c r="H55" s="88"/>
      <c r="I55" s="190"/>
      <c r="J55" s="191"/>
      <c r="K55" s="191"/>
      <c r="L55" s="191"/>
      <c r="M55" s="86"/>
      <c r="N55" s="86"/>
      <c r="O55" s="92" t="s">
        <v>25</v>
      </c>
      <c r="P55" s="191">
        <f t="shared" si="4"/>
        <v>0</v>
      </c>
      <c r="Q55" s="193">
        <v>0</v>
      </c>
    </row>
    <row r="56" spans="1:17" x14ac:dyDescent="0.3">
      <c r="A56" s="133"/>
      <c r="B56" s="154"/>
      <c r="C56" s="149"/>
      <c r="D56" s="87"/>
      <c r="E56" s="88"/>
      <c r="F56" s="89"/>
      <c r="G56" s="89"/>
      <c r="H56" s="88"/>
      <c r="I56" s="190"/>
      <c r="J56" s="191"/>
      <c r="K56" s="191"/>
      <c r="L56" s="191"/>
      <c r="M56" s="86"/>
      <c r="N56" s="86"/>
      <c r="O56" s="92" t="s">
        <v>25</v>
      </c>
      <c r="P56" s="191">
        <f t="shared" si="4"/>
        <v>0</v>
      </c>
      <c r="Q56" s="193">
        <v>0</v>
      </c>
    </row>
    <row r="57" spans="1:17" x14ac:dyDescent="0.3">
      <c r="A57" s="133"/>
      <c r="B57" s="154"/>
      <c r="C57" s="149"/>
      <c r="D57" s="87"/>
      <c r="E57" s="88"/>
      <c r="F57" s="89"/>
      <c r="G57" s="89"/>
      <c r="H57" s="88"/>
      <c r="I57" s="190"/>
      <c r="J57" s="191"/>
      <c r="K57" s="191"/>
      <c r="L57" s="191"/>
      <c r="M57" s="86"/>
      <c r="N57" s="86"/>
      <c r="O57" s="92" t="s">
        <v>25</v>
      </c>
      <c r="P57" s="191">
        <f t="shared" si="4"/>
        <v>0</v>
      </c>
      <c r="Q57" s="193">
        <v>0</v>
      </c>
    </row>
    <row r="58" spans="1:17" x14ac:dyDescent="0.3">
      <c r="A58" s="133"/>
      <c r="B58" s="154"/>
      <c r="C58" s="149"/>
      <c r="D58" s="87"/>
      <c r="E58" s="88"/>
      <c r="F58" s="89"/>
      <c r="G58" s="89"/>
      <c r="H58" s="88"/>
      <c r="I58" s="190"/>
      <c r="J58" s="191"/>
      <c r="K58" s="191"/>
      <c r="L58" s="191"/>
      <c r="M58" s="86"/>
      <c r="N58" s="86"/>
      <c r="O58" s="92" t="s">
        <v>25</v>
      </c>
      <c r="P58" s="191">
        <f t="shared" si="4"/>
        <v>0</v>
      </c>
      <c r="Q58" s="193">
        <v>0</v>
      </c>
    </row>
    <row r="59" spans="1:17" x14ac:dyDescent="0.3">
      <c r="A59" s="133"/>
      <c r="B59" s="154"/>
      <c r="C59" s="149"/>
      <c r="D59" s="87"/>
      <c r="E59" s="88"/>
      <c r="F59" s="89"/>
      <c r="G59" s="89"/>
      <c r="H59" s="88"/>
      <c r="I59" s="190"/>
      <c r="J59" s="191"/>
      <c r="K59" s="191"/>
      <c r="L59" s="191"/>
      <c r="M59" s="86"/>
      <c r="N59" s="86"/>
      <c r="O59" s="92" t="s">
        <v>25</v>
      </c>
      <c r="P59" s="191">
        <f t="shared" si="4"/>
        <v>0</v>
      </c>
      <c r="Q59" s="193">
        <v>0</v>
      </c>
    </row>
    <row r="60" spans="1:17" x14ac:dyDescent="0.3">
      <c r="A60" s="133"/>
      <c r="B60" s="154"/>
      <c r="C60" s="149"/>
      <c r="D60" s="87"/>
      <c r="E60" s="88"/>
      <c r="F60" s="89"/>
      <c r="G60" s="89"/>
      <c r="H60" s="88"/>
      <c r="I60" s="190"/>
      <c r="J60" s="191"/>
      <c r="K60" s="191"/>
      <c r="L60" s="191"/>
      <c r="M60" s="86"/>
      <c r="N60" s="86"/>
      <c r="O60" s="92" t="s">
        <v>25</v>
      </c>
      <c r="P60" s="191">
        <f t="shared" si="4"/>
        <v>0</v>
      </c>
      <c r="Q60" s="193">
        <v>0</v>
      </c>
    </row>
    <row r="61" spans="1:17" x14ac:dyDescent="0.3">
      <c r="A61" s="133"/>
      <c r="B61" s="154"/>
      <c r="C61" s="149"/>
      <c r="D61" s="87"/>
      <c r="E61" s="88"/>
      <c r="F61" s="89"/>
      <c r="G61" s="89"/>
      <c r="H61" s="88"/>
      <c r="I61" s="190"/>
      <c r="J61" s="191"/>
      <c r="K61" s="191"/>
      <c r="L61" s="191"/>
      <c r="M61" s="86"/>
      <c r="N61" s="86"/>
      <c r="O61" s="92" t="s">
        <v>25</v>
      </c>
      <c r="P61" s="191">
        <f t="shared" si="4"/>
        <v>0</v>
      </c>
      <c r="Q61" s="193">
        <v>0</v>
      </c>
    </row>
    <row r="62" spans="1:17" x14ac:dyDescent="0.3">
      <c r="A62" s="133"/>
      <c r="B62" s="154"/>
      <c r="C62" s="149"/>
      <c r="D62" s="87"/>
      <c r="E62" s="88"/>
      <c r="F62" s="89"/>
      <c r="G62" s="89"/>
      <c r="H62" s="88"/>
      <c r="I62" s="190"/>
      <c r="J62" s="191"/>
      <c r="K62" s="191"/>
      <c r="L62" s="191"/>
      <c r="M62" s="86"/>
      <c r="N62" s="86"/>
      <c r="O62" s="92" t="s">
        <v>25</v>
      </c>
      <c r="P62" s="191">
        <f t="shared" si="4"/>
        <v>0</v>
      </c>
      <c r="Q62" s="193">
        <v>0</v>
      </c>
    </row>
    <row r="63" spans="1:17" x14ac:dyDescent="0.3">
      <c r="A63" s="133"/>
      <c r="B63" s="154"/>
      <c r="C63" s="149"/>
      <c r="D63" s="87"/>
      <c r="E63" s="88"/>
      <c r="F63" s="89"/>
      <c r="G63" s="89"/>
      <c r="H63" s="88"/>
      <c r="I63" s="190"/>
      <c r="J63" s="191"/>
      <c r="K63" s="191"/>
      <c r="L63" s="191"/>
      <c r="M63" s="86"/>
      <c r="N63" s="86"/>
      <c r="O63" s="92" t="s">
        <v>25</v>
      </c>
      <c r="P63" s="191">
        <f t="shared" si="4"/>
        <v>0</v>
      </c>
      <c r="Q63" s="193">
        <v>0</v>
      </c>
    </row>
    <row r="64" spans="1:17" x14ac:dyDescent="0.3">
      <c r="A64" s="133"/>
      <c r="B64" s="154"/>
      <c r="C64" s="149"/>
      <c r="D64" s="87"/>
      <c r="E64" s="88"/>
      <c r="F64" s="89"/>
      <c r="G64" s="89"/>
      <c r="H64" s="88"/>
      <c r="I64" s="190"/>
      <c r="J64" s="191"/>
      <c r="K64" s="191"/>
      <c r="L64" s="191"/>
      <c r="M64" s="86"/>
      <c r="N64" s="86"/>
      <c r="O64" s="92" t="s">
        <v>25</v>
      </c>
      <c r="P64" s="191">
        <f t="shared" si="4"/>
        <v>0</v>
      </c>
      <c r="Q64" s="193">
        <v>0</v>
      </c>
    </row>
    <row r="65" spans="1:17" x14ac:dyDescent="0.3">
      <c r="A65" s="133"/>
      <c r="B65" s="154"/>
      <c r="C65" s="149"/>
      <c r="D65" s="87"/>
      <c r="E65" s="88"/>
      <c r="F65" s="89"/>
      <c r="G65" s="89"/>
      <c r="H65" s="88"/>
      <c r="I65" s="190"/>
      <c r="J65" s="191"/>
      <c r="K65" s="191"/>
      <c r="L65" s="191"/>
      <c r="M65" s="86"/>
      <c r="N65" s="86"/>
      <c r="O65" s="92" t="s">
        <v>25</v>
      </c>
      <c r="P65" s="191">
        <f t="shared" si="4"/>
        <v>0</v>
      </c>
      <c r="Q65" s="193">
        <v>0</v>
      </c>
    </row>
    <row r="66" spans="1:17" x14ac:dyDescent="0.3">
      <c r="A66" s="133"/>
      <c r="B66" s="154"/>
      <c r="C66" s="149"/>
      <c r="D66" s="87"/>
      <c r="E66" s="88"/>
      <c r="F66" s="89"/>
      <c r="G66" s="89"/>
      <c r="H66" s="88"/>
      <c r="I66" s="190"/>
      <c r="J66" s="191"/>
      <c r="K66" s="191"/>
      <c r="L66" s="191"/>
      <c r="M66" s="86"/>
      <c r="N66" s="86"/>
      <c r="O66" s="92" t="s">
        <v>25</v>
      </c>
      <c r="P66" s="191">
        <f t="shared" si="4"/>
        <v>0</v>
      </c>
      <c r="Q66" s="193">
        <v>0</v>
      </c>
    </row>
    <row r="67" spans="1:17" x14ac:dyDescent="0.3">
      <c r="A67" s="133"/>
      <c r="B67" s="154"/>
      <c r="C67" s="149"/>
      <c r="D67" s="87"/>
      <c r="E67" s="88"/>
      <c r="F67" s="89"/>
      <c r="G67" s="89"/>
      <c r="H67" s="88"/>
      <c r="I67" s="190"/>
      <c r="J67" s="191"/>
      <c r="K67" s="191"/>
      <c r="L67" s="191"/>
      <c r="M67" s="86"/>
      <c r="N67" s="86"/>
      <c r="O67" s="92" t="s">
        <v>25</v>
      </c>
      <c r="P67" s="191">
        <f t="shared" si="4"/>
        <v>0</v>
      </c>
      <c r="Q67" s="193">
        <v>0</v>
      </c>
    </row>
    <row r="68" spans="1:17" x14ac:dyDescent="0.3">
      <c r="A68" s="133"/>
      <c r="B68" s="154"/>
      <c r="C68" s="149"/>
      <c r="D68" s="87"/>
      <c r="E68" s="88"/>
      <c r="F68" s="89"/>
      <c r="G68" s="89"/>
      <c r="H68" s="88"/>
      <c r="I68" s="190"/>
      <c r="J68" s="191"/>
      <c r="K68" s="191"/>
      <c r="L68" s="191"/>
      <c r="M68" s="86"/>
      <c r="N68" s="86"/>
      <c r="O68" s="92" t="s">
        <v>25</v>
      </c>
      <c r="P68" s="191">
        <f t="shared" si="4"/>
        <v>0</v>
      </c>
      <c r="Q68" s="193">
        <v>0</v>
      </c>
    </row>
    <row r="69" spans="1:17" ht="15.65" thickBot="1" x14ac:dyDescent="0.35">
      <c r="A69" s="133"/>
      <c r="B69" s="154"/>
      <c r="C69" s="149"/>
      <c r="D69" s="87"/>
      <c r="E69" s="88"/>
      <c r="F69" s="89"/>
      <c r="G69" s="89"/>
      <c r="H69" s="88"/>
      <c r="I69" s="190"/>
      <c r="J69" s="191"/>
      <c r="K69" s="191"/>
      <c r="L69" s="191"/>
      <c r="M69" s="86"/>
      <c r="N69" s="86"/>
      <c r="O69" s="92" t="s">
        <v>25</v>
      </c>
      <c r="P69" s="191">
        <f t="shared" si="4"/>
        <v>0</v>
      </c>
      <c r="Q69" s="193">
        <v>0</v>
      </c>
    </row>
    <row r="70" spans="1:17" x14ac:dyDescent="0.3">
      <c r="A70" s="134" t="s">
        <v>27</v>
      </c>
      <c r="B70" s="134" t="s">
        <v>27</v>
      </c>
      <c r="C70" s="66" t="s">
        <v>27</v>
      </c>
      <c r="D70" s="66" t="s">
        <v>27</v>
      </c>
      <c r="E70" s="66" t="s">
        <v>27</v>
      </c>
      <c r="F70" s="66" t="s">
        <v>27</v>
      </c>
      <c r="G70" s="66" t="s">
        <v>27</v>
      </c>
      <c r="H70" s="66" t="s">
        <v>27</v>
      </c>
      <c r="I70" s="66" t="s">
        <v>27</v>
      </c>
      <c r="J70" s="66" t="s">
        <v>27</v>
      </c>
      <c r="K70" s="66" t="s">
        <v>27</v>
      </c>
      <c r="L70" s="66" t="s">
        <v>27</v>
      </c>
      <c r="M70" s="66" t="s">
        <v>27</v>
      </c>
      <c r="N70" s="66" t="s">
        <v>27</v>
      </c>
      <c r="O70" s="66" t="s">
        <v>27</v>
      </c>
      <c r="P70" s="66" t="s">
        <v>27</v>
      </c>
      <c r="Q70" s="66" t="s">
        <v>27</v>
      </c>
    </row>
    <row r="71" spans="1:17" x14ac:dyDescent="0.3">
      <c r="B71" s="11"/>
    </row>
  </sheetData>
  <autoFilter ref="A5:Q69" xr:uid="{00000000-0009-0000-0000-000000000000}">
    <sortState xmlns:xlrd2="http://schemas.microsoft.com/office/spreadsheetml/2017/richdata2" ref="A6:Q70">
      <sortCondition ref="N5:N69"/>
    </sortState>
  </autoFilter>
  <conditionalFormatting sqref="F6:F69">
    <cfRule type="duplicateValues" dxfId="46" priority="5"/>
    <cfRule type="duplicateValues" dxfId="45" priority="6"/>
  </conditionalFormatting>
  <conditionalFormatting sqref="H6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H7:H69">
    <cfRule type="colorScale" priority="8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3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1" right="0.7" top="0.75" bottom="0.75" header="0.3" footer="0.3"/>
  <pageSetup scale="5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O55"/>
  <sheetViews>
    <sheetView tabSelected="1" zoomScaleNormal="100" workbookViewId="0">
      <pane xSplit="3" ySplit="5" topLeftCell="M6" activePane="bottomRight" state="frozen"/>
      <selection pane="topRight" activeCell="U4" sqref="U4"/>
      <selection pane="bottomLeft" activeCell="U4" sqref="U4"/>
      <selection pane="bottomRight" activeCell="P35" sqref="P35"/>
    </sheetView>
  </sheetViews>
  <sheetFormatPr defaultColWidth="9.44140625" defaultRowHeight="15.05" x14ac:dyDescent="0.3"/>
  <cols>
    <col min="1" max="2" width="7.5546875" customWidth="1"/>
    <col min="3" max="3" width="4.44140625" style="2" customWidth="1"/>
    <col min="4" max="4" width="7.5546875" customWidth="1"/>
    <col min="5" max="5" width="6.5546875" customWidth="1"/>
    <col min="6" max="6" width="8.44140625" customWidth="1"/>
    <col min="7" max="7" width="5" customWidth="1"/>
    <col min="8" max="8" width="8.5546875" customWidth="1"/>
    <col min="9" max="12" width="8.44140625" customWidth="1"/>
    <col min="13" max="17" width="7.44140625" customWidth="1"/>
    <col min="18" max="21" width="8.44140625" customWidth="1"/>
    <col min="22" max="22" width="7.77734375" bestFit="1" customWidth="1"/>
    <col min="23" max="23" width="4" customWidth="1"/>
    <col min="24" max="24" width="10.44140625" customWidth="1"/>
    <col min="25" max="25" width="1" customWidth="1"/>
    <col min="26" max="26" width="7.6640625" customWidth="1"/>
    <col min="27" max="27" width="11.21875" customWidth="1"/>
    <col min="28" max="28" width="11.44140625" customWidth="1"/>
    <col min="29" max="29" width="7.44140625" customWidth="1"/>
    <col min="30" max="34" width="8" customWidth="1"/>
    <col min="38" max="38" width="12.44140625" customWidth="1"/>
  </cols>
  <sheetData>
    <row r="1" spans="1:41" x14ac:dyDescent="0.3">
      <c r="A1" s="7"/>
      <c r="B1" s="7"/>
      <c r="C1" s="106"/>
      <c r="T1" s="7" t="s">
        <v>28</v>
      </c>
      <c r="X1" s="7" t="s">
        <v>952</v>
      </c>
      <c r="AJ1" s="81">
        <v>400</v>
      </c>
      <c r="AK1" t="s">
        <v>29</v>
      </c>
    </row>
    <row r="2" spans="1:41" x14ac:dyDescent="0.3">
      <c r="A2" s="67" t="s">
        <v>30</v>
      </c>
      <c r="C2" s="107"/>
      <c r="T2" s="233">
        <v>45982</v>
      </c>
      <c r="U2" s="233"/>
      <c r="Z2" s="3">
        <f ca="1">COUNT(Z6:Z18)</f>
        <v>1</v>
      </c>
      <c r="AA2">
        <f ca="1">COUNTIF(AA6:AA18,"&gt;2")</f>
        <v>1</v>
      </c>
      <c r="AF2">
        <f ca="1">COUNTIF(AF6:AF18,"&gt;2")</f>
        <v>1</v>
      </c>
      <c r="AJ2" s="105">
        <f ca="1">AJ1*(1-$J$22)</f>
        <v>400</v>
      </c>
      <c r="AK2" s="104" t="s">
        <v>31</v>
      </c>
      <c r="AL2" s="104"/>
    </row>
    <row r="3" spans="1:41" s="104" customFormat="1" x14ac:dyDescent="0.3">
      <c r="A3" s="95"/>
      <c r="B3" s="96"/>
      <c r="C3" s="98"/>
      <c r="D3" s="97" t="s">
        <v>2</v>
      </c>
      <c r="E3" s="96"/>
      <c r="F3" s="96"/>
      <c r="G3" s="96"/>
      <c r="H3" s="96"/>
      <c r="I3" s="96"/>
      <c r="J3" s="96"/>
      <c r="K3" s="96"/>
      <c r="L3" s="96"/>
      <c r="M3" s="96"/>
      <c r="N3" s="96"/>
      <c r="O3" s="116" t="str">
        <f>INPUTS!O3</f>
        <v>Empirical</v>
      </c>
      <c r="P3" s="116" t="str">
        <f>INPUTS!P3</f>
        <v>Use</v>
      </c>
      <c r="Q3" s="96"/>
      <c r="R3" s="96" t="s">
        <v>32</v>
      </c>
      <c r="S3" s="99"/>
      <c r="T3" s="169"/>
      <c r="U3" s="101"/>
      <c r="V3" s="101"/>
      <c r="W3" s="101"/>
      <c r="X3" s="100" t="s">
        <v>33</v>
      </c>
      <c r="Y3" s="96"/>
      <c r="Z3" s="101"/>
      <c r="AA3" s="100" t="s">
        <v>34</v>
      </c>
      <c r="AB3" s="102"/>
      <c r="AC3" s="97"/>
      <c r="AD3" s="96"/>
      <c r="AE3" s="103"/>
      <c r="AJ3"/>
      <c r="AK3" s="80" t="s">
        <v>35</v>
      </c>
      <c r="AL3" s="2" t="s">
        <v>36</v>
      </c>
    </row>
    <row r="4" spans="1:41" x14ac:dyDescent="0.3">
      <c r="A4" s="9"/>
      <c r="B4" s="7" t="s">
        <v>5</v>
      </c>
      <c r="C4" s="106"/>
      <c r="D4" s="112" t="str">
        <f>INPUTS!D4</f>
        <v>Final</v>
      </c>
      <c r="E4" s="112" t="str">
        <f>INPUTS!E4</f>
        <v>Total</v>
      </c>
      <c r="F4" s="112"/>
      <c r="G4" s="112"/>
      <c r="H4" s="112"/>
      <c r="I4" s="112" t="str">
        <f>INPUTS!I4</f>
        <v>lowMW=primer</v>
      </c>
      <c r="J4" s="112" t="str">
        <f>INPUTS!J4</f>
        <v>AdDimer</v>
      </c>
      <c r="K4" s="112" t="str">
        <f>INPUTS!K4</f>
        <v>Library</v>
      </c>
      <c r="L4" s="112" t="str">
        <f>INPUTS!L4</f>
        <v>Total</v>
      </c>
      <c r="M4" s="112"/>
      <c r="N4" s="112"/>
      <c r="O4" s="117" t="str">
        <f>INPUTS!O4</f>
        <v>Library</v>
      </c>
      <c r="P4" s="117" t="str">
        <f>INPUTS!P4</f>
        <v>Library</v>
      </c>
      <c r="Q4" s="112"/>
      <c r="R4" s="50">
        <v>0.05</v>
      </c>
      <c r="S4" s="14"/>
      <c r="T4" s="139"/>
      <c r="U4" s="11"/>
      <c r="V4" s="11">
        <f ca="1">COUNTIF(W6:W17,"&gt;1")</f>
        <v>0</v>
      </c>
      <c r="W4" s="11"/>
      <c r="X4" s="18"/>
      <c r="Z4" s="1" t="s">
        <v>37</v>
      </c>
      <c r="AA4" s="82">
        <v>0.1</v>
      </c>
      <c r="AB4" s="33"/>
      <c r="AC4" t="s">
        <v>38</v>
      </c>
      <c r="AE4" s="17"/>
      <c r="AF4" s="10"/>
      <c r="AG4" t="s">
        <v>39</v>
      </c>
      <c r="AK4" s="160" t="s">
        <v>40</v>
      </c>
    </row>
    <row r="5" spans="1:41" ht="15.65" thickBot="1" x14ac:dyDescent="0.35">
      <c r="A5" s="29" t="s">
        <v>41</v>
      </c>
      <c r="B5" s="30" t="s">
        <v>15</v>
      </c>
      <c r="C5" s="108" t="s">
        <v>42</v>
      </c>
      <c r="D5" s="65" t="str">
        <f>INPUTS!D5</f>
        <v>ng/ul</v>
      </c>
      <c r="E5" s="65" t="str">
        <f>INPUTS!E5</f>
        <v>vol</v>
      </c>
      <c r="F5" s="65" t="str">
        <f>INPUTS!F5</f>
        <v>UDI: Plate_Well</v>
      </c>
      <c r="G5" s="65" t="str">
        <f>INPUTS!G5</f>
        <v>notes</v>
      </c>
      <c r="H5" s="65" t="str">
        <f>INPUTS!H5</f>
        <v>Adj peak size</v>
      </c>
      <c r="I5" s="65" t="str">
        <f>INPUTS!I5</f>
        <v>%ofLib</v>
      </c>
      <c r="J5" s="65" t="str">
        <f>INPUTS!J5</f>
        <v>nM</v>
      </c>
      <c r="K5" s="65" t="str">
        <f>INPUTS!K5</f>
        <v>nM</v>
      </c>
      <c r="L5" s="65" t="str">
        <f>INPUTS!L5</f>
        <v>nM</v>
      </c>
      <c r="M5" s="65" t="str">
        <f>INPUTS!M5</f>
        <v>final#</v>
      </c>
      <c r="N5" s="65" t="str">
        <f>INPUTS!N5</f>
        <v>storage</v>
      </c>
      <c r="O5" s="23" t="str">
        <f>INPUTS!O5</f>
        <v>nM</v>
      </c>
      <c r="P5" s="23" t="str">
        <f>INPUTS!P5</f>
        <v>nM</v>
      </c>
      <c r="Q5" s="65" t="str">
        <f>INPUTS!Q5</f>
        <v>Reads (M)</v>
      </c>
      <c r="R5" s="25" t="s">
        <v>43</v>
      </c>
      <c r="S5" s="25" t="s">
        <v>44</v>
      </c>
      <c r="T5" s="24" t="s">
        <v>14</v>
      </c>
      <c r="U5" s="25" t="s">
        <v>45</v>
      </c>
      <c r="V5" s="25" t="s">
        <v>46</v>
      </c>
      <c r="W5" s="25"/>
      <c r="X5" s="31" t="s">
        <v>47</v>
      </c>
      <c r="Y5" s="65" t="s">
        <v>48</v>
      </c>
      <c r="Z5" s="23"/>
      <c r="AA5" s="31" t="s">
        <v>18</v>
      </c>
      <c r="AB5" s="26"/>
      <c r="AC5" s="27" t="s">
        <v>49</v>
      </c>
      <c r="AD5" s="25" t="s">
        <v>50</v>
      </c>
      <c r="AE5" s="26" t="s">
        <v>51</v>
      </c>
      <c r="AF5" s="24" t="s">
        <v>52</v>
      </c>
      <c r="AG5" s="27" t="s">
        <v>53</v>
      </c>
      <c r="AH5" s="25" t="s">
        <v>49</v>
      </c>
      <c r="AI5" s="27" t="s">
        <v>54</v>
      </c>
      <c r="AJ5" s="27" t="s">
        <v>55</v>
      </c>
      <c r="AK5" s="161" t="s">
        <v>56</v>
      </c>
      <c r="AL5" s="43" t="s">
        <v>57</v>
      </c>
      <c r="AM5" s="27" t="s">
        <v>58</v>
      </c>
      <c r="AN5" s="27" t="s">
        <v>59</v>
      </c>
      <c r="AO5" s="27" t="s">
        <v>60</v>
      </c>
    </row>
    <row r="6" spans="1:41" s="36" customFormat="1" ht="15.65" x14ac:dyDescent="0.3">
      <c r="A6" s="36" t="str">
        <f>IF(INPUTS!A6=0,"none",INPUTS!A6)</f>
        <v>7050I</v>
      </c>
      <c r="B6" s="36" t="str">
        <f>IF(INPUTS!B6=0,"none",INPUTS!B6)</f>
        <v>EF19</v>
      </c>
      <c r="C6" s="109">
        <f>IF(B6="none",0,MATCH(B6,INPUTS!$B$6:$B$69,0))</f>
        <v>1</v>
      </c>
      <c r="D6" s="94">
        <f ca="1">IF($C6=0,"",OFFSET(INPUTS!D$5,$C6,0))</f>
        <v>1.7766</v>
      </c>
      <c r="E6" s="94">
        <f ca="1">IF($C6=0,"",OFFSET(INPUTS!E$5,$C6,0))</f>
        <v>20</v>
      </c>
      <c r="F6" s="115" t="str">
        <f ca="1">IF($C6=0,"",OFFSET(INPUTS!F$5,$C6,0))</f>
        <v>P4_A05</v>
      </c>
      <c r="G6" s="115">
        <f ca="1">IF($C6=0,"",OFFSET(INPUTS!G$5,$C6,0))</f>
        <v>0</v>
      </c>
      <c r="H6" s="94">
        <f ca="1">IF($C6=0,"",OFFSET(INPUTS!H$5,$C6,0))</f>
        <v>198</v>
      </c>
      <c r="I6" s="94">
        <f ca="1">IF($C6=0,"",OFFSET(INPUTS!I$5,$C6,0))</f>
        <v>0</v>
      </c>
      <c r="J6" s="94">
        <f ca="1">IF($C6=0,"",OFFSET(INPUTS!J$5,$C6,0))</f>
        <v>0</v>
      </c>
      <c r="K6" s="114">
        <f ca="1">IF($C6=0,"",OFFSET(INPUTS!K$5,$C6,0))</f>
        <v>13.595041322314049</v>
      </c>
      <c r="L6" s="114">
        <f ca="1">IF($C6=0,"",OFFSET(INPUTS!L$5,$C6,0))</f>
        <v>13.595041322314049</v>
      </c>
      <c r="M6" s="94">
        <f ca="1">IF($C6=0,"",OFFSET(INPUTS!M$5,$C6,0))</f>
        <v>0</v>
      </c>
      <c r="N6" s="94">
        <f ca="1">IF($C6=0,"",OFFSET(INPUTS!N$5,$C6,0))</f>
        <v>0</v>
      </c>
      <c r="O6" s="94" t="str">
        <f ca="1">IF($C6=0,"",OFFSET(INPUTS!O$5,$C6,0))</f>
        <v>nd</v>
      </c>
      <c r="P6" s="114">
        <f ca="1">IF($C6=0,"",OFFSET(INPUTS!P$5,$C6,0))</f>
        <v>13.595041322314049</v>
      </c>
      <c r="Q6" s="94">
        <f ca="1">IF($C6=0,"",OFFSET(INPUTS!Q$5,$C6,0))</f>
        <v>100</v>
      </c>
      <c r="R6" s="37">
        <f t="shared" ref="R6:R17" ca="1" si="0">IF($C6=0,"",$P6-($J6*R$4))</f>
        <v>13.595041322314049</v>
      </c>
      <c r="S6" s="34">
        <f t="shared" ref="S6" ca="1" si="1">SUM(J6,R6)</f>
        <v>13.595041322314049</v>
      </c>
      <c r="T6" s="167" t="str">
        <f t="shared" ref="T6" si="2">IF(A6=0,"",A6)</f>
        <v>7050I</v>
      </c>
      <c r="U6" s="41" t="str">
        <f t="shared" ref="U6" ca="1" si="3">IF(M6=0,"",M6)</f>
        <v/>
      </c>
      <c r="V6" s="151" t="str">
        <f ca="1">IF(F6=0,"",F6&amp;IF(OR(G6="",G6=0),"","+"&amp;G6))</f>
        <v>P4_A05</v>
      </c>
      <c r="W6" s="130" t="str">
        <f t="shared" ref="W6:W17" ca="1" si="4">IF(ISNUMBER(V6),COUNTIF($V$6:$V$17,V6),"")</f>
        <v/>
      </c>
      <c r="X6" s="39" t="str">
        <f t="shared" ref="X6:X17" si="5">$B6</f>
        <v>EF19</v>
      </c>
      <c r="Y6" s="41"/>
      <c r="Z6" s="75" t="str">
        <f t="shared" ref="Z6:Z7" si="6">IF($AK6&gt;0,"",IF($R6="","",IF(AF6&lt;0.2,10,IF(AF6&lt;0.795,5,""))))</f>
        <v/>
      </c>
      <c r="AA6" s="189" t="str">
        <f>IF($AK6&gt;0,"in Prepool",IF($R6="","",AF6*IF($Z6="",1,$Z6)))</f>
        <v>in Prepool</v>
      </c>
      <c r="AB6" s="171" t="str">
        <f t="shared" ref="AB6:AB19" si="7">IF(ISNUMBER(AA6),RANK(AA6,$AA$6:$AA$19,0),"")</f>
        <v/>
      </c>
      <c r="AC6" s="41" t="str">
        <f t="shared" ref="AC6" si="8">IF($AK6&gt;0,"",IF($R6="","",R6*$AA6/IF($Z6="",1,$Z6)))</f>
        <v/>
      </c>
      <c r="AD6" s="35" t="str">
        <f t="shared" ref="AD6" si="9">IF($AK6&gt;0,"",IF($R6="","",S6*$AA6/IF($Z6="",1,$Z6)))</f>
        <v/>
      </c>
      <c r="AE6" s="42" t="str">
        <f t="shared" ref="AE6" si="10">IF($AK6&gt;0,"",IF($R6="","",D6*$AA6/IF($Z6="",1,$Z6)))</f>
        <v/>
      </c>
      <c r="AF6" s="34">
        <f t="shared" ref="AF6" ca="1" si="11">IF(R6="","",$AA$4/R6*Q6)</f>
        <v>0.73556231003039518</v>
      </c>
      <c r="AG6" s="34">
        <f ca="1">IF(R6="","",Q6)</f>
        <v>100</v>
      </c>
      <c r="AH6" s="35">
        <f t="shared" ref="AH6" ca="1" si="12">IF(R6="","",R6*AF6)</f>
        <v>10</v>
      </c>
      <c r="AI6" s="64">
        <f t="shared" ref="AI6:AI17" ca="1" si="13">IF($AF6="","",AH6/$AH$20)</f>
        <v>0.15151515151515152</v>
      </c>
      <c r="AJ6" s="35">
        <f t="shared" ref="AJ6:AJ7" ca="1" si="14">IF($AF6="","",$AJ$2*AI6)</f>
        <v>60.606060606060609</v>
      </c>
      <c r="AK6" s="45">
        <f>IF(SUMIF('Prepool 1'!$X$6:$X$38,X6,'Prepool 1'!$AH$6:$AH$38)=1,1,IF(SUMIF('Prepool 1'!$X$6:$X$38,X6,'Prepool 1'!$AH$6:$AH$38)=0,IF(SUMIF('Prepool 2'!$X$6:$X$38,X6,'Prepool 2'!$AH$6:$AH$38)=1,2,IF(SUMIF('Prepool 2'!$X$6:$X$38,X6,'Prepool 2'!$AH$6:$AH$38)=0,,"ERR")),"ERR"))</f>
        <v>2</v>
      </c>
      <c r="AL6" s="79"/>
      <c r="AM6" s="34">
        <f t="shared" ref="AM6:AM17" si="15">AL6/$AL$20</f>
        <v>0</v>
      </c>
      <c r="AN6" s="35">
        <f t="shared" ref="AN6" ca="1" si="16">IF($AF6="","",AM6/AI6)</f>
        <v>0</v>
      </c>
      <c r="AO6" s="35">
        <f t="shared" ref="AO6" ca="1" si="17">IF($AF6="","",AN6*R6)</f>
        <v>0</v>
      </c>
    </row>
    <row r="7" spans="1:41" s="36" customFormat="1" ht="15.65" x14ac:dyDescent="0.3">
      <c r="A7" s="36" t="str">
        <f>IF(INPUTS!A7=0,"none",INPUTS!A7)</f>
        <v>7050I</v>
      </c>
      <c r="B7" s="36" t="str">
        <f>IF(INPUTS!B7=0,"none",INPUTS!B7)</f>
        <v>EF20</v>
      </c>
      <c r="C7" s="109">
        <f>IF(B7="none",0,MATCH(B7,INPUTS!$B$6:$B$69,0))</f>
        <v>2</v>
      </c>
      <c r="D7" s="94">
        <f ca="1">IF($C7=0,"",OFFSET(INPUTS!D$5,$C7,0))</f>
        <v>1.7037200000000001</v>
      </c>
      <c r="E7" s="94">
        <f ca="1">IF($C7=0,"",OFFSET(INPUTS!E$5,$C7,0))</f>
        <v>20</v>
      </c>
      <c r="F7" s="115" t="str">
        <f ca="1">IF($C7=0,"",OFFSET(INPUTS!F$5,$C7,0))</f>
        <v>P4_B05</v>
      </c>
      <c r="G7" s="115">
        <f ca="1">IF($C7=0,"",OFFSET(INPUTS!G$5,$C7,0))</f>
        <v>0</v>
      </c>
      <c r="H7" s="94">
        <f ca="1">IF($C7=0,"",OFFSET(INPUTS!H$5,$C7,0))</f>
        <v>198</v>
      </c>
      <c r="I7" s="94">
        <f ca="1">IF($C7=0,"",OFFSET(INPUTS!I$5,$C7,0))</f>
        <v>0</v>
      </c>
      <c r="J7" s="94">
        <f ca="1">IF($C7=0,"",OFFSET(INPUTS!J$5,$C7,0))</f>
        <v>0</v>
      </c>
      <c r="K7" s="114">
        <f ca="1">IF($C7=0,"",OFFSET(INPUTS!K$5,$C7,0))</f>
        <v>13.037343128252221</v>
      </c>
      <c r="L7" s="114">
        <f ca="1">IF($C7=0,"",OFFSET(INPUTS!L$5,$C7,0))</f>
        <v>13.037343128252221</v>
      </c>
      <c r="M7" s="94">
        <f ca="1">IF($C7=0,"",OFFSET(INPUTS!M$5,$C7,0))</f>
        <v>0</v>
      </c>
      <c r="N7" s="94">
        <f ca="1">IF($C7=0,"",OFFSET(INPUTS!N$5,$C7,0))</f>
        <v>0</v>
      </c>
      <c r="O7" s="94" t="str">
        <f ca="1">IF($C7=0,"",OFFSET(INPUTS!O$5,$C7,0))</f>
        <v>nd</v>
      </c>
      <c r="P7" s="114">
        <f ca="1">IF($C7=0,"",OFFSET(INPUTS!P$5,$C7,0))</f>
        <v>13.037343128252221</v>
      </c>
      <c r="Q7" s="94">
        <f ca="1">IF($C7=0,"",OFFSET(INPUTS!Q$5,$C7,0))</f>
        <v>10</v>
      </c>
      <c r="R7" s="37">
        <f t="shared" ca="1" si="0"/>
        <v>13.037343128252221</v>
      </c>
      <c r="S7" s="34">
        <f t="shared" ref="S7:S8" ca="1" si="18">SUM(J7,R7)</f>
        <v>13.037343128252221</v>
      </c>
      <c r="T7" s="167" t="str">
        <f t="shared" ref="T7:T8" si="19">IF(A7=0,"",A7)</f>
        <v>7050I</v>
      </c>
      <c r="U7" s="41" t="str">
        <f t="shared" ref="U7:U8" ca="1" si="20">IF(M7=0,"",M7)</f>
        <v/>
      </c>
      <c r="V7" s="151" t="str">
        <f t="shared" ref="V7:V8" ca="1" si="21">IF(F7=0,"",F7&amp;IF(OR(G7="",G7=0),"","+"&amp;G7))</f>
        <v>P4_B05</v>
      </c>
      <c r="W7" s="130" t="str">
        <f t="shared" ca="1" si="4"/>
        <v/>
      </c>
      <c r="X7" s="39" t="str">
        <f t="shared" si="5"/>
        <v>EF20</v>
      </c>
      <c r="Y7" s="41"/>
      <c r="Z7" s="75" t="str">
        <f t="shared" si="6"/>
        <v/>
      </c>
      <c r="AA7" s="40" t="str">
        <f t="shared" ref="AA7:AA8" si="22">IF($AK7&gt;0,"in Prepool",IF($R7="","",AF7*IF($Z7="",1,$Z7)))</f>
        <v>in Prepool</v>
      </c>
      <c r="AB7" s="171" t="str">
        <f t="shared" si="7"/>
        <v/>
      </c>
      <c r="AC7" s="41" t="str">
        <f t="shared" ref="AC7:AC8" si="23">IF($AK7&gt;0,"",IF($R7="","",R7*$AA7/IF($Z7="",1,$Z7)))</f>
        <v/>
      </c>
      <c r="AD7" s="35" t="str">
        <f t="shared" ref="AD7:AD8" si="24">IF($AK7&gt;0,"",IF($R7="","",S7*$AA7/IF($Z7="",1,$Z7)))</f>
        <v/>
      </c>
      <c r="AE7" s="42" t="str">
        <f t="shared" ref="AE7:AE8" si="25">IF($AK7&gt;0,"",IF($R7="","",D7*$AA7/IF($Z7="",1,$Z7)))</f>
        <v/>
      </c>
      <c r="AF7" s="34">
        <f t="shared" ref="AF7:AF8" ca="1" si="26">IF(R7="","",$AA$4/R7*Q7)</f>
        <v>7.6702744582443111E-2</v>
      </c>
      <c r="AG7" s="34">
        <f t="shared" ref="AG7:AG8" ca="1" si="27">IF(R7="","",Q7)</f>
        <v>10</v>
      </c>
      <c r="AH7" s="35">
        <f t="shared" ref="AH7:AH8" ca="1" si="28">IF(R7="","",R7*AF7)</f>
        <v>1</v>
      </c>
      <c r="AI7" s="64">
        <f t="shared" ca="1" si="13"/>
        <v>1.5151515151515152E-2</v>
      </c>
      <c r="AJ7" s="35">
        <f t="shared" ca="1" si="14"/>
        <v>6.0606060606060606</v>
      </c>
      <c r="AK7" s="45">
        <f>IF(SUMIF('Prepool 1'!$X$6:$X$38,X7,'Prepool 1'!$AH$6:$AH$38)=1,1,IF(SUMIF('Prepool 1'!$X$6:$X$38,X7,'Prepool 1'!$AH$6:$AH$38)=0,IF(SUMIF('Prepool 2'!$X$6:$X$38,X7,'Prepool 2'!$AH$6:$AH$38)=1,2,IF(SUMIF('Prepool 2'!$X$6:$X$38,X7,'Prepool 2'!$AH$6:$AH$38)=0,,"ERR")),"ERR"))</f>
        <v>1</v>
      </c>
      <c r="AL7" s="79"/>
      <c r="AM7" s="34">
        <f t="shared" si="15"/>
        <v>0</v>
      </c>
      <c r="AN7" s="35">
        <f t="shared" ref="AN7:AN8" ca="1" si="29">IF($AF7="","",AM7/AI7)</f>
        <v>0</v>
      </c>
      <c r="AO7" s="35">
        <f t="shared" ref="AO7:AO8" ca="1" si="30">IF($AF7="","",AN7*R7)</f>
        <v>0</v>
      </c>
    </row>
    <row r="8" spans="1:41" s="36" customFormat="1" ht="15.65" x14ac:dyDescent="0.3">
      <c r="A8" s="36" t="str">
        <f>IF(INPUTS!A8=0,"none",INPUTS!A8)</f>
        <v>7050I</v>
      </c>
      <c r="B8" s="36" t="str">
        <f>IF(INPUTS!B8=0,"none",INPUTS!B8)</f>
        <v>EF21</v>
      </c>
      <c r="C8" s="109">
        <f>IF(B8="none",0,MATCH(B8,INPUTS!$B$6:$B$69,0))</f>
        <v>3</v>
      </c>
      <c r="D8" s="94">
        <f ca="1">IF($C8=0,"",OFFSET(INPUTS!D$5,$C8,0))</f>
        <v>1.61175</v>
      </c>
      <c r="E8" s="94">
        <f ca="1">IF($C8=0,"",OFFSET(INPUTS!E$5,$C8,0))</f>
        <v>20</v>
      </c>
      <c r="F8" s="115" t="str">
        <f ca="1">IF($C8=0,"",OFFSET(INPUTS!F$5,$C8,0))</f>
        <v>P4_C05</v>
      </c>
      <c r="G8" s="115">
        <f ca="1">IF($C8=0,"",OFFSET(INPUTS!G$5,$C8,0))</f>
        <v>0</v>
      </c>
      <c r="H8" s="94">
        <f ca="1">IF($C8=0,"",OFFSET(INPUTS!H$5,$C8,0))</f>
        <v>198</v>
      </c>
      <c r="I8" s="94">
        <f ca="1">IF($C8=0,"",OFFSET(INPUTS!I$5,$C8,0))</f>
        <v>0</v>
      </c>
      <c r="J8" s="94">
        <f ca="1">IF($C8=0,"",OFFSET(INPUTS!J$5,$C8,0))</f>
        <v>0</v>
      </c>
      <c r="K8" s="114">
        <f ca="1">IF($C8=0,"",OFFSET(INPUTS!K$5,$C8,0))</f>
        <v>12.33356290174472</v>
      </c>
      <c r="L8" s="114">
        <f ca="1">IF($C8=0,"",OFFSET(INPUTS!L$5,$C8,0))</f>
        <v>12.33356290174472</v>
      </c>
      <c r="M8" s="94">
        <f ca="1">IF($C8=0,"",OFFSET(INPUTS!M$5,$C8,0))</f>
        <v>0</v>
      </c>
      <c r="N8" s="94">
        <f ca="1">IF($C8=0,"",OFFSET(INPUTS!N$5,$C8,0))</f>
        <v>0</v>
      </c>
      <c r="O8" s="94" t="str">
        <f ca="1">IF($C8=0,"",OFFSET(INPUTS!O$5,$C8,0))</f>
        <v>nd</v>
      </c>
      <c r="P8" s="114">
        <f ca="1">IF($C8=0,"",OFFSET(INPUTS!P$5,$C8,0))</f>
        <v>12.33356290174472</v>
      </c>
      <c r="Q8" s="94">
        <f ca="1">IF($C8=0,"",OFFSET(INPUTS!Q$5,$C8,0))</f>
        <v>100</v>
      </c>
      <c r="R8" s="37">
        <f t="shared" ca="1" si="0"/>
        <v>12.33356290174472</v>
      </c>
      <c r="S8" s="34">
        <f t="shared" ca="1" si="18"/>
        <v>12.33356290174472</v>
      </c>
      <c r="T8" s="167" t="str">
        <f t="shared" si="19"/>
        <v>7050I</v>
      </c>
      <c r="U8" s="41" t="str">
        <f t="shared" ca="1" si="20"/>
        <v/>
      </c>
      <c r="V8" s="151" t="str">
        <f t="shared" ca="1" si="21"/>
        <v>P4_C05</v>
      </c>
      <c r="W8" s="130" t="str">
        <f t="shared" ca="1" si="4"/>
        <v/>
      </c>
      <c r="X8" s="39" t="str">
        <f t="shared" si="5"/>
        <v>EF21</v>
      </c>
      <c r="Y8" s="41"/>
      <c r="Z8" s="75" t="str">
        <f t="shared" ref="Z8:Z13" si="31">IF($AK8&gt;0,"",IF($R8="","",IF(AF8&lt;0.2,10,IF(AF8&lt;0.795,5,""))))</f>
        <v/>
      </c>
      <c r="AA8" s="40" t="str">
        <f t="shared" si="22"/>
        <v>in Prepool</v>
      </c>
      <c r="AB8" s="171" t="str">
        <f t="shared" si="7"/>
        <v/>
      </c>
      <c r="AC8" s="41" t="str">
        <f t="shared" si="23"/>
        <v/>
      </c>
      <c r="AD8" s="35" t="str">
        <f t="shared" si="24"/>
        <v/>
      </c>
      <c r="AE8" s="42" t="str">
        <f t="shared" si="25"/>
        <v/>
      </c>
      <c r="AF8" s="34">
        <f t="shared" ca="1" si="26"/>
        <v>0.81079571893904134</v>
      </c>
      <c r="AG8" s="34">
        <f t="shared" ca="1" si="27"/>
        <v>100</v>
      </c>
      <c r="AH8" s="35">
        <f t="shared" ca="1" si="28"/>
        <v>10</v>
      </c>
      <c r="AI8" s="64">
        <f t="shared" ca="1" si="13"/>
        <v>0.15151515151515152</v>
      </c>
      <c r="AJ8" s="35">
        <f t="shared" ref="AJ8:AJ13" ca="1" si="32">IF($AF8="","",$AJ$2*AI8)</f>
        <v>60.606060606060609</v>
      </c>
      <c r="AK8" s="45">
        <f>IF(SUMIF('Prepool 1'!$X$6:$X$38,X8,'Prepool 1'!$AH$6:$AH$38)=1,1,IF(SUMIF('Prepool 1'!$X$6:$X$38,X8,'Prepool 1'!$AH$6:$AH$38)=0,IF(SUMIF('Prepool 2'!$X$6:$X$38,X8,'Prepool 2'!$AH$6:$AH$38)=1,2,IF(SUMIF('Prepool 2'!$X$6:$X$38,X8,'Prepool 2'!$AH$6:$AH$38)=0,,"ERR")),"ERR"))</f>
        <v>2</v>
      </c>
      <c r="AL8" s="79"/>
      <c r="AM8" s="34">
        <f t="shared" si="15"/>
        <v>0</v>
      </c>
      <c r="AN8" s="35">
        <f t="shared" ca="1" si="29"/>
        <v>0</v>
      </c>
      <c r="AO8" s="35">
        <f t="shared" ca="1" si="30"/>
        <v>0</v>
      </c>
    </row>
    <row r="9" spans="1:41" s="36" customFormat="1" ht="15.65" x14ac:dyDescent="0.3">
      <c r="A9" s="36" t="str">
        <f>IF(INPUTS!A9=0,"none",INPUTS!A9)</f>
        <v>7050I</v>
      </c>
      <c r="B9" s="36" t="str">
        <f>IF(INPUTS!B9=0,"none",INPUTS!B9)</f>
        <v>EF22</v>
      </c>
      <c r="C9" s="109">
        <f>IF(B9="none",0,MATCH(B9,INPUTS!$B$6:$B$69,0))</f>
        <v>4</v>
      </c>
      <c r="D9" s="94">
        <f ca="1">IF($C9=0,"",OFFSET(INPUTS!D$5,$C9,0))</f>
        <v>2.2723200000000001</v>
      </c>
      <c r="E9" s="94">
        <f ca="1">IF($C9=0,"",OFFSET(INPUTS!E$5,$C9,0))</f>
        <v>20</v>
      </c>
      <c r="F9" s="115" t="str">
        <f ca="1">IF($C9=0,"",OFFSET(INPUTS!F$5,$C9,0))</f>
        <v>P4_D05</v>
      </c>
      <c r="G9" s="115">
        <f ca="1">IF($C9=0,"",OFFSET(INPUTS!G$5,$C9,0))</f>
        <v>0</v>
      </c>
      <c r="H9" s="94">
        <f ca="1">IF($C9=0,"",OFFSET(INPUTS!H$5,$C9,0))</f>
        <v>196</v>
      </c>
      <c r="I9" s="94">
        <f ca="1">IF($C9=0,"",OFFSET(INPUTS!I$5,$C9,0))</f>
        <v>0</v>
      </c>
      <c r="J9" s="94">
        <f ca="1">IF($C9=0,"",OFFSET(INPUTS!J$5,$C9,0))</f>
        <v>0</v>
      </c>
      <c r="K9" s="114">
        <f ca="1">IF($C9=0,"",OFFSET(INPUTS!K$5,$C9,0))</f>
        <v>17.565862708719852</v>
      </c>
      <c r="L9" s="114">
        <f ca="1">IF($C9=0,"",OFFSET(INPUTS!L$5,$C9,0))</f>
        <v>17.565862708719852</v>
      </c>
      <c r="M9" s="94">
        <f ca="1">IF($C9=0,"",OFFSET(INPUTS!M$5,$C9,0))</f>
        <v>0</v>
      </c>
      <c r="N9" s="94">
        <f ca="1">IF($C9=0,"",OFFSET(INPUTS!N$5,$C9,0))</f>
        <v>0</v>
      </c>
      <c r="O9" s="94" t="str">
        <f ca="1">IF($C9=0,"",OFFSET(INPUTS!O$5,$C9,0))</f>
        <v>nd</v>
      </c>
      <c r="P9" s="114">
        <f ca="1">IF($C9=0,"",OFFSET(INPUTS!P$5,$C9,0))</f>
        <v>17.565862708719852</v>
      </c>
      <c r="Q9" s="94">
        <f ca="1">IF($C9=0,"",OFFSET(INPUTS!Q$5,$C9,0))</f>
        <v>10</v>
      </c>
      <c r="R9" s="37">
        <f t="shared" ca="1" si="0"/>
        <v>17.565862708719852</v>
      </c>
      <c r="S9" s="34">
        <f t="shared" ref="S9:S13" ca="1" si="33">SUM(J9,R9)</f>
        <v>17.565862708719852</v>
      </c>
      <c r="T9" s="167" t="str">
        <f t="shared" ref="T9:T13" si="34">IF(A9=0,"",A9)</f>
        <v>7050I</v>
      </c>
      <c r="U9" s="41" t="str">
        <f t="shared" ref="U9:U13" ca="1" si="35">IF(M9=0,"",M9)</f>
        <v/>
      </c>
      <c r="V9" s="151" t="str">
        <f t="shared" ref="V9:V13" ca="1" si="36">IF(F9=0,"",F9&amp;IF(OR(G9="",G9=0),"","+"&amp;G9))</f>
        <v>P4_D05</v>
      </c>
      <c r="W9" s="130" t="str">
        <f t="shared" ca="1" si="4"/>
        <v/>
      </c>
      <c r="X9" s="39" t="str">
        <f t="shared" si="5"/>
        <v>EF22</v>
      </c>
      <c r="Y9" s="41"/>
      <c r="Z9" s="75" t="str">
        <f t="shared" si="31"/>
        <v/>
      </c>
      <c r="AA9" s="40" t="str">
        <f t="shared" ref="AA9:AA13" si="37">IF($AK9&gt;0,"in Prepool",IF($R9="","",AF9*IF($Z9="",1,$Z9)))</f>
        <v>in Prepool</v>
      </c>
      <c r="AB9" s="171" t="str">
        <f t="shared" si="7"/>
        <v/>
      </c>
      <c r="AC9" s="41" t="str">
        <f t="shared" ref="AC9:AC13" si="38">IF($AK9&gt;0,"",IF($R9="","",R9*$AA9/IF($Z9="",1,$Z9)))</f>
        <v/>
      </c>
      <c r="AD9" s="35" t="str">
        <f t="shared" ref="AD9:AD13" si="39">IF($AK9&gt;0,"",IF($R9="","",S9*$AA9/IF($Z9="",1,$Z9)))</f>
        <v/>
      </c>
      <c r="AE9" s="42" t="str">
        <f t="shared" ref="AE9:AE13" si="40">IF($AK9&gt;0,"",IF($R9="","",D9*$AA9/IF($Z9="",1,$Z9)))</f>
        <v/>
      </c>
      <c r="AF9" s="34">
        <f t="shared" ref="AF9:AF13" ca="1" si="41">IF(R9="","",$AA$4/R9*Q9)</f>
        <v>5.6928601605407692E-2</v>
      </c>
      <c r="AG9" s="34">
        <f t="shared" ref="AG9:AG13" ca="1" si="42">IF(R9="","",Q9)</f>
        <v>10</v>
      </c>
      <c r="AH9" s="35">
        <f t="shared" ref="AH9:AH13" ca="1" si="43">IF(R9="","",R9*AF9)</f>
        <v>1</v>
      </c>
      <c r="AI9" s="64">
        <f t="shared" ca="1" si="13"/>
        <v>1.5151515151515152E-2</v>
      </c>
      <c r="AJ9" s="35">
        <f t="shared" ca="1" si="32"/>
        <v>6.0606060606060606</v>
      </c>
      <c r="AK9" s="45">
        <f>IF(SUMIF('Prepool 1'!$X$6:$X$38,X9,'Prepool 1'!$AH$6:$AH$38)=1,1,IF(SUMIF('Prepool 1'!$X$6:$X$38,X9,'Prepool 1'!$AH$6:$AH$38)=0,IF(SUMIF('Prepool 2'!$X$6:$X$38,X9,'Prepool 2'!$AH$6:$AH$38)=1,2,IF(SUMIF('Prepool 2'!$X$6:$X$38,X9,'Prepool 2'!$AH$6:$AH$38)=0,,"ERR")),"ERR"))</f>
        <v>1</v>
      </c>
      <c r="AL9" s="79"/>
      <c r="AM9" s="34">
        <f t="shared" si="15"/>
        <v>0</v>
      </c>
      <c r="AN9" s="35">
        <f t="shared" ref="AN9:AN13" ca="1" si="44">IF($AF9="","",AM9/AI9)</f>
        <v>0</v>
      </c>
      <c r="AO9" s="35">
        <f t="shared" ref="AO9:AO13" ca="1" si="45">IF($AF9="","",AN9*R9)</f>
        <v>0</v>
      </c>
    </row>
    <row r="10" spans="1:41" s="36" customFormat="1" ht="15.65" x14ac:dyDescent="0.3">
      <c r="A10" s="36" t="str">
        <f>IF(INPUTS!A10=0,"none",INPUTS!A10)</f>
        <v>7050I</v>
      </c>
      <c r="B10" s="36" t="str">
        <f>IF(INPUTS!B10=0,"none",INPUTS!B10)</f>
        <v>EF23</v>
      </c>
      <c r="C10" s="109">
        <f>IF(B10="none",0,MATCH(B10,INPUTS!$B$6:$B$69,0))</f>
        <v>5</v>
      </c>
      <c r="D10" s="94">
        <f ca="1">IF($C10=0,"",OFFSET(INPUTS!D$5,$C10,0))</f>
        <v>2.4557500000000001</v>
      </c>
      <c r="E10" s="94">
        <f ca="1">IF($C10=0,"",OFFSET(INPUTS!E$5,$C10,0))</f>
        <v>20</v>
      </c>
      <c r="F10" s="115" t="str">
        <f ca="1">IF($C10=0,"",OFFSET(INPUTS!F$5,$C10,0))</f>
        <v>P4_E05</v>
      </c>
      <c r="G10" s="115">
        <f ca="1">IF($C10=0,"",OFFSET(INPUTS!G$5,$C10,0))</f>
        <v>0</v>
      </c>
      <c r="H10" s="94">
        <f ca="1">IF($C10=0,"",OFFSET(INPUTS!H$5,$C10,0))</f>
        <v>198</v>
      </c>
      <c r="I10" s="94">
        <f ca="1">IF($C10=0,"",OFFSET(INPUTS!I$5,$C10,0))</f>
        <v>0</v>
      </c>
      <c r="J10" s="94">
        <f ca="1">IF($C10=0,"",OFFSET(INPUTS!J$5,$C10,0))</f>
        <v>0</v>
      </c>
      <c r="K10" s="114">
        <f ca="1">IF($C10=0,"",OFFSET(INPUTS!K$5,$C10,0))</f>
        <v>18.792087542087543</v>
      </c>
      <c r="L10" s="114">
        <f ca="1">IF($C10=0,"",OFFSET(INPUTS!L$5,$C10,0))</f>
        <v>18.792087542087543</v>
      </c>
      <c r="M10" s="94">
        <f ca="1">IF($C10=0,"",OFFSET(INPUTS!M$5,$C10,0))</f>
        <v>0</v>
      </c>
      <c r="N10" s="94">
        <f ca="1">IF($C10=0,"",OFFSET(INPUTS!N$5,$C10,0))</f>
        <v>0</v>
      </c>
      <c r="O10" s="94" t="str">
        <f ca="1">IF($C10=0,"",OFFSET(INPUTS!O$5,$C10,0))</f>
        <v>nd</v>
      </c>
      <c r="P10" s="114">
        <f ca="1">IF($C10=0,"",OFFSET(INPUTS!P$5,$C10,0))</f>
        <v>18.792087542087543</v>
      </c>
      <c r="Q10" s="94">
        <f ca="1">IF($C10=0,"",OFFSET(INPUTS!Q$5,$C10,0))</f>
        <v>100</v>
      </c>
      <c r="R10" s="37">
        <f t="shared" ca="1" si="0"/>
        <v>18.792087542087543</v>
      </c>
      <c r="S10" s="34">
        <f t="shared" ca="1" si="33"/>
        <v>18.792087542087543</v>
      </c>
      <c r="T10" s="167" t="str">
        <f t="shared" si="34"/>
        <v>7050I</v>
      </c>
      <c r="U10" s="41" t="str">
        <f t="shared" ca="1" si="35"/>
        <v/>
      </c>
      <c r="V10" s="151" t="str">
        <f t="shared" ca="1" si="36"/>
        <v>P4_E05</v>
      </c>
      <c r="W10" s="130" t="str">
        <f t="shared" ca="1" si="4"/>
        <v/>
      </c>
      <c r="X10" s="39" t="str">
        <f t="shared" si="5"/>
        <v>EF23</v>
      </c>
      <c r="Y10" s="41"/>
      <c r="Z10" s="75" t="str">
        <f t="shared" si="31"/>
        <v/>
      </c>
      <c r="AA10" s="40" t="str">
        <f t="shared" si="37"/>
        <v>in Prepool</v>
      </c>
      <c r="AB10" s="171" t="str">
        <f t="shared" si="7"/>
        <v/>
      </c>
      <c r="AC10" s="41" t="str">
        <f t="shared" si="38"/>
        <v/>
      </c>
      <c r="AD10" s="35" t="str">
        <f t="shared" si="39"/>
        <v/>
      </c>
      <c r="AE10" s="42" t="str">
        <f t="shared" si="40"/>
        <v/>
      </c>
      <c r="AF10" s="34">
        <f t="shared" ca="1" si="41"/>
        <v>0.53213885778275483</v>
      </c>
      <c r="AG10" s="34">
        <f t="shared" ca="1" si="42"/>
        <v>100</v>
      </c>
      <c r="AH10" s="35">
        <f t="shared" ca="1" si="43"/>
        <v>10.000000000000002</v>
      </c>
      <c r="AI10" s="64">
        <f t="shared" ca="1" si="13"/>
        <v>0.15151515151515155</v>
      </c>
      <c r="AJ10" s="35">
        <f t="shared" ca="1" si="32"/>
        <v>60.606060606060616</v>
      </c>
      <c r="AK10" s="45">
        <f>IF(SUMIF('Prepool 1'!$X$6:$X$38,X10,'Prepool 1'!$AH$6:$AH$38)=1,1,IF(SUMIF('Prepool 1'!$X$6:$X$38,X10,'Prepool 1'!$AH$6:$AH$38)=0,IF(SUMIF('Prepool 2'!$X$6:$X$38,X10,'Prepool 2'!$AH$6:$AH$38)=1,2,IF(SUMIF('Prepool 2'!$X$6:$X$38,X10,'Prepool 2'!$AH$6:$AH$38)=0,,"ERR")),"ERR"))</f>
        <v>2</v>
      </c>
      <c r="AL10" s="79"/>
      <c r="AM10" s="34">
        <f t="shared" si="15"/>
        <v>0</v>
      </c>
      <c r="AN10" s="35">
        <f t="shared" ca="1" si="44"/>
        <v>0</v>
      </c>
      <c r="AO10" s="35">
        <f t="shared" ca="1" si="45"/>
        <v>0</v>
      </c>
    </row>
    <row r="11" spans="1:41" s="36" customFormat="1" ht="15.65" x14ac:dyDescent="0.3">
      <c r="A11" s="36" t="str">
        <f>IF(INPUTS!A11=0,"none",INPUTS!A11)</f>
        <v>7050I</v>
      </c>
      <c r="B11" s="36" t="str">
        <f>IF(INPUTS!B11=0,"none",INPUTS!B11)</f>
        <v>EF24</v>
      </c>
      <c r="C11" s="109">
        <f>IF(B11="none",0,MATCH(B11,INPUTS!$B$6:$B$69,0))</f>
        <v>6</v>
      </c>
      <c r="D11" s="94">
        <f ca="1">IF($C11=0,"",OFFSET(INPUTS!D$5,$C11,0))</f>
        <v>2.3963200000000002</v>
      </c>
      <c r="E11" s="94">
        <f ca="1">IF($C11=0,"",OFFSET(INPUTS!E$5,$C11,0))</f>
        <v>20</v>
      </c>
      <c r="F11" s="115" t="str">
        <f ca="1">IF($C11=0,"",OFFSET(INPUTS!F$5,$C11,0))</f>
        <v>P4_F05</v>
      </c>
      <c r="G11" s="115">
        <f ca="1">IF($C11=0,"",OFFSET(INPUTS!G$5,$C11,0))</f>
        <v>0</v>
      </c>
      <c r="H11" s="94">
        <f ca="1">IF($C11=0,"",OFFSET(INPUTS!H$5,$C11,0))</f>
        <v>198</v>
      </c>
      <c r="I11" s="94">
        <f ca="1">IF($C11=0,"",OFFSET(INPUTS!I$5,$C11,0))</f>
        <v>0</v>
      </c>
      <c r="J11" s="94">
        <f ca="1">IF($C11=0,"",OFFSET(INPUTS!J$5,$C11,0))</f>
        <v>0</v>
      </c>
      <c r="K11" s="114">
        <f ca="1">IF($C11=0,"",OFFSET(INPUTS!K$5,$C11,0))</f>
        <v>18.337312519130702</v>
      </c>
      <c r="L11" s="114">
        <f ca="1">IF($C11=0,"",OFFSET(INPUTS!L$5,$C11,0))</f>
        <v>18.337312519130702</v>
      </c>
      <c r="M11" s="94">
        <f ca="1">IF($C11=0,"",OFFSET(INPUTS!M$5,$C11,0))</f>
        <v>0</v>
      </c>
      <c r="N11" s="94">
        <f ca="1">IF($C11=0,"",OFFSET(INPUTS!N$5,$C11,0))</f>
        <v>0</v>
      </c>
      <c r="O11" s="94" t="str">
        <f ca="1">IF($C11=0,"",OFFSET(INPUTS!O$5,$C11,0))</f>
        <v>nd</v>
      </c>
      <c r="P11" s="114">
        <f ca="1">IF($C11=0,"",OFFSET(INPUTS!P$5,$C11,0))</f>
        <v>18.337312519130702</v>
      </c>
      <c r="Q11" s="94">
        <f ca="1">IF($C11=0,"",OFFSET(INPUTS!Q$5,$C11,0))</f>
        <v>10</v>
      </c>
      <c r="R11" s="37">
        <f t="shared" ca="1" si="0"/>
        <v>18.337312519130702</v>
      </c>
      <c r="S11" s="34">
        <f t="shared" ca="1" si="33"/>
        <v>18.337312519130702</v>
      </c>
      <c r="T11" s="167" t="str">
        <f t="shared" si="34"/>
        <v>7050I</v>
      </c>
      <c r="U11" s="41" t="str">
        <f t="shared" ca="1" si="35"/>
        <v/>
      </c>
      <c r="V11" s="151" t="str">
        <f t="shared" ca="1" si="36"/>
        <v>P4_F05</v>
      </c>
      <c r="W11" s="130" t="str">
        <f t="shared" ca="1" si="4"/>
        <v/>
      </c>
      <c r="X11" s="39" t="str">
        <f t="shared" si="5"/>
        <v>EF24</v>
      </c>
      <c r="Y11" s="41"/>
      <c r="Z11" s="75" t="str">
        <f t="shared" si="31"/>
        <v/>
      </c>
      <c r="AA11" s="40" t="str">
        <f t="shared" si="37"/>
        <v>in Prepool</v>
      </c>
      <c r="AB11" s="171" t="str">
        <f t="shared" si="7"/>
        <v/>
      </c>
      <c r="AC11" s="41" t="str">
        <f t="shared" si="38"/>
        <v/>
      </c>
      <c r="AD11" s="35" t="str">
        <f t="shared" si="39"/>
        <v/>
      </c>
      <c r="AE11" s="42" t="str">
        <f t="shared" si="40"/>
        <v/>
      </c>
      <c r="AF11" s="34">
        <f t="shared" ca="1" si="41"/>
        <v>5.4533618214595715E-2</v>
      </c>
      <c r="AG11" s="34">
        <f t="shared" ca="1" si="42"/>
        <v>10</v>
      </c>
      <c r="AH11" s="35">
        <f t="shared" ca="1" si="43"/>
        <v>1</v>
      </c>
      <c r="AI11" s="64">
        <f t="shared" ca="1" si="13"/>
        <v>1.5151515151515152E-2</v>
      </c>
      <c r="AJ11" s="35">
        <f t="shared" ca="1" si="32"/>
        <v>6.0606060606060606</v>
      </c>
      <c r="AK11" s="45">
        <f>IF(SUMIF('Prepool 1'!$X$6:$X$38,X11,'Prepool 1'!$AH$6:$AH$38)=1,1,IF(SUMIF('Prepool 1'!$X$6:$X$38,X11,'Prepool 1'!$AH$6:$AH$38)=0,IF(SUMIF('Prepool 2'!$X$6:$X$38,X11,'Prepool 2'!$AH$6:$AH$38)=1,2,IF(SUMIF('Prepool 2'!$X$6:$X$38,X11,'Prepool 2'!$AH$6:$AH$38)=0,,"ERR")),"ERR"))</f>
        <v>1</v>
      </c>
      <c r="AL11" s="79"/>
      <c r="AM11" s="34">
        <f t="shared" si="15"/>
        <v>0</v>
      </c>
      <c r="AN11" s="35">
        <f t="shared" ca="1" si="44"/>
        <v>0</v>
      </c>
      <c r="AO11" s="35">
        <f t="shared" ca="1" si="45"/>
        <v>0</v>
      </c>
    </row>
    <row r="12" spans="1:41" s="36" customFormat="1" ht="15.65" x14ac:dyDescent="0.3">
      <c r="A12" s="36" t="str">
        <f>IF(INPUTS!A12=0,"none",INPUTS!A12)</f>
        <v>7050I</v>
      </c>
      <c r="B12" s="36" t="str">
        <f>IF(INPUTS!B12=0,"none",INPUTS!B12)</f>
        <v>EF25</v>
      </c>
      <c r="C12" s="109">
        <f>IF(B12="none",0,MATCH(B12,INPUTS!$B$6:$B$69,0))</f>
        <v>7</v>
      </c>
      <c r="D12" s="94">
        <f ca="1">IF($C12=0,"",OFFSET(INPUTS!D$5,$C12,0))</f>
        <v>2.5299999999999998</v>
      </c>
      <c r="E12" s="94">
        <f ca="1">IF($C12=0,"",OFFSET(INPUTS!E$5,$C12,0))</f>
        <v>20</v>
      </c>
      <c r="F12" s="115" t="str">
        <f ca="1">IF($C12=0,"",OFFSET(INPUTS!F$5,$C12,0))</f>
        <v>P4_A06</v>
      </c>
      <c r="G12" s="115">
        <f ca="1">IF($C12=0,"",OFFSET(INPUTS!G$5,$C12,0))</f>
        <v>0</v>
      </c>
      <c r="H12" s="94">
        <f ca="1">IF($C12=0,"",OFFSET(INPUTS!H$5,$C12,0))</f>
        <v>199</v>
      </c>
      <c r="I12" s="94">
        <f ca="1">IF($C12=0,"",OFFSET(INPUTS!I$5,$C12,0))</f>
        <v>0</v>
      </c>
      <c r="J12" s="94">
        <f ca="1">IF($C12=0,"",OFFSET(INPUTS!J$5,$C12,0))</f>
        <v>0</v>
      </c>
      <c r="K12" s="114">
        <f ca="1">IF($C12=0,"",OFFSET(INPUTS!K$5,$C12,0))</f>
        <v>19.26298157453936</v>
      </c>
      <c r="L12" s="114">
        <f ca="1">IF($C12=0,"",OFFSET(INPUTS!L$5,$C12,0))</f>
        <v>19.26298157453936</v>
      </c>
      <c r="M12" s="94">
        <f ca="1">IF($C12=0,"",OFFSET(INPUTS!M$5,$C12,0))</f>
        <v>0</v>
      </c>
      <c r="N12" s="94">
        <f ca="1">IF($C12=0,"",OFFSET(INPUTS!N$5,$C12,0))</f>
        <v>0</v>
      </c>
      <c r="O12" s="94" t="str">
        <f ca="1">IF($C12=0,"",OFFSET(INPUTS!O$5,$C12,0))</f>
        <v>nd</v>
      </c>
      <c r="P12" s="114">
        <f ca="1">IF($C12=0,"",OFFSET(INPUTS!P$5,$C12,0))</f>
        <v>19.26298157453936</v>
      </c>
      <c r="Q12" s="94">
        <f ca="1">IF($C12=0,"",OFFSET(INPUTS!Q$5,$C12,0))</f>
        <v>100</v>
      </c>
      <c r="R12" s="37">
        <f t="shared" ca="1" si="0"/>
        <v>19.26298157453936</v>
      </c>
      <c r="S12" s="34">
        <f t="shared" ca="1" si="33"/>
        <v>19.26298157453936</v>
      </c>
      <c r="T12" s="167" t="str">
        <f t="shared" si="34"/>
        <v>7050I</v>
      </c>
      <c r="U12" s="41" t="str">
        <f t="shared" ca="1" si="35"/>
        <v/>
      </c>
      <c r="V12" s="151" t="str">
        <f t="shared" ca="1" si="36"/>
        <v>P4_A06</v>
      </c>
      <c r="W12" s="130" t="str">
        <f t="shared" ca="1" si="4"/>
        <v/>
      </c>
      <c r="X12" s="39" t="str">
        <f t="shared" si="5"/>
        <v>EF25</v>
      </c>
      <c r="Y12" s="41"/>
      <c r="Z12" s="75" t="str">
        <f t="shared" si="31"/>
        <v/>
      </c>
      <c r="AA12" s="40" t="str">
        <f t="shared" si="37"/>
        <v>in Prepool</v>
      </c>
      <c r="AB12" s="171" t="str">
        <f t="shared" si="7"/>
        <v/>
      </c>
      <c r="AC12" s="41" t="str">
        <f t="shared" si="38"/>
        <v/>
      </c>
      <c r="AD12" s="35" t="str">
        <f t="shared" si="39"/>
        <v/>
      </c>
      <c r="AE12" s="42" t="str">
        <f t="shared" si="40"/>
        <v/>
      </c>
      <c r="AF12" s="34">
        <f t="shared" ca="1" si="41"/>
        <v>0.51913043478260879</v>
      </c>
      <c r="AG12" s="34">
        <f t="shared" ca="1" si="42"/>
        <v>100</v>
      </c>
      <c r="AH12" s="35">
        <f t="shared" ca="1" si="43"/>
        <v>10</v>
      </c>
      <c r="AI12" s="64">
        <f t="shared" ca="1" si="13"/>
        <v>0.15151515151515152</v>
      </c>
      <c r="AJ12" s="35">
        <f t="shared" ca="1" si="32"/>
        <v>60.606060606060609</v>
      </c>
      <c r="AK12" s="45">
        <f>IF(SUMIF('Prepool 1'!$X$6:$X$38,X12,'Prepool 1'!$AH$6:$AH$38)=1,1,IF(SUMIF('Prepool 1'!$X$6:$X$38,X12,'Prepool 1'!$AH$6:$AH$38)=0,IF(SUMIF('Prepool 2'!$X$6:$X$38,X12,'Prepool 2'!$AH$6:$AH$38)=1,2,IF(SUMIF('Prepool 2'!$X$6:$X$38,X12,'Prepool 2'!$AH$6:$AH$38)=0,,"ERR")),"ERR"))</f>
        <v>2</v>
      </c>
      <c r="AL12" s="79"/>
      <c r="AM12" s="34">
        <f t="shared" si="15"/>
        <v>0</v>
      </c>
      <c r="AN12" s="35">
        <f t="shared" ca="1" si="44"/>
        <v>0</v>
      </c>
      <c r="AO12" s="35">
        <f t="shared" ca="1" si="45"/>
        <v>0</v>
      </c>
    </row>
    <row r="13" spans="1:41" s="36" customFormat="1" ht="15.65" x14ac:dyDescent="0.3">
      <c r="A13" s="36" t="str">
        <f>IF(INPUTS!A13=0,"none",INPUTS!A13)</f>
        <v>7050I</v>
      </c>
      <c r="B13" s="36" t="str">
        <f>IF(INPUTS!B13=0,"none",INPUTS!B13)</f>
        <v>EF26</v>
      </c>
      <c r="C13" s="109">
        <f>IF(B13="none",0,MATCH(B13,INPUTS!$B$6:$B$69,0))</f>
        <v>8</v>
      </c>
      <c r="D13" s="94">
        <f ca="1">IF($C13=0,"",OFFSET(INPUTS!D$5,$C13,0))</f>
        <v>3.3</v>
      </c>
      <c r="E13" s="94">
        <f ca="1">IF($C13=0,"",OFFSET(INPUTS!E$5,$C13,0))</f>
        <v>20</v>
      </c>
      <c r="F13" s="115" t="str">
        <f ca="1">IF($C13=0,"",OFFSET(INPUTS!F$5,$C13,0))</f>
        <v>P4_B06</v>
      </c>
      <c r="G13" s="115">
        <f ca="1">IF($C13=0,"",OFFSET(INPUTS!G$5,$C13,0))</f>
        <v>0</v>
      </c>
      <c r="H13" s="94">
        <f ca="1">IF($C13=0,"",OFFSET(INPUTS!H$5,$C13,0))</f>
        <v>198</v>
      </c>
      <c r="I13" s="94">
        <f ca="1">IF($C13=0,"",OFFSET(INPUTS!I$5,$C13,0))</f>
        <v>0</v>
      </c>
      <c r="J13" s="94">
        <f ca="1">IF($C13=0,"",OFFSET(INPUTS!J$5,$C13,0))</f>
        <v>0</v>
      </c>
      <c r="K13" s="114">
        <f ca="1">IF($C13=0,"",OFFSET(INPUTS!K$5,$C13,0))</f>
        <v>25.252525252525253</v>
      </c>
      <c r="L13" s="114">
        <f ca="1">IF($C13=0,"",OFFSET(INPUTS!L$5,$C13,0))</f>
        <v>25.252525252525253</v>
      </c>
      <c r="M13" s="94">
        <f ca="1">IF($C13=0,"",OFFSET(INPUTS!M$5,$C13,0))</f>
        <v>0</v>
      </c>
      <c r="N13" s="94">
        <f ca="1">IF($C13=0,"",OFFSET(INPUTS!N$5,$C13,0))</f>
        <v>0</v>
      </c>
      <c r="O13" s="94" t="str">
        <f ca="1">IF($C13=0,"",OFFSET(INPUTS!O$5,$C13,0))</f>
        <v>nd</v>
      </c>
      <c r="P13" s="114">
        <f ca="1">IF($C13=0,"",OFFSET(INPUTS!P$5,$C13,0))</f>
        <v>25.252525252525253</v>
      </c>
      <c r="Q13" s="94">
        <f ca="1">IF($C13=0,"",OFFSET(INPUTS!Q$5,$C13,0))</f>
        <v>10</v>
      </c>
      <c r="R13" s="37">
        <f t="shared" ca="1" si="0"/>
        <v>25.252525252525253</v>
      </c>
      <c r="S13" s="34">
        <f t="shared" ca="1" si="33"/>
        <v>25.252525252525253</v>
      </c>
      <c r="T13" s="167" t="str">
        <f t="shared" si="34"/>
        <v>7050I</v>
      </c>
      <c r="U13" s="41" t="str">
        <f t="shared" ca="1" si="35"/>
        <v/>
      </c>
      <c r="V13" s="151" t="str">
        <f t="shared" ca="1" si="36"/>
        <v>P4_B06</v>
      </c>
      <c r="W13" s="130" t="str">
        <f t="shared" ca="1" si="4"/>
        <v/>
      </c>
      <c r="X13" s="39" t="str">
        <f t="shared" si="5"/>
        <v>EF26</v>
      </c>
      <c r="Y13" s="41"/>
      <c r="Z13" s="75" t="str">
        <f t="shared" si="31"/>
        <v/>
      </c>
      <c r="AA13" s="40" t="str">
        <f t="shared" si="37"/>
        <v>in Prepool</v>
      </c>
      <c r="AB13" s="171" t="str">
        <f t="shared" si="7"/>
        <v/>
      </c>
      <c r="AC13" s="41" t="str">
        <f t="shared" si="38"/>
        <v/>
      </c>
      <c r="AD13" s="35" t="str">
        <f t="shared" si="39"/>
        <v/>
      </c>
      <c r="AE13" s="42" t="str">
        <f t="shared" si="40"/>
        <v/>
      </c>
      <c r="AF13" s="34">
        <f t="shared" ca="1" si="41"/>
        <v>3.9599999999999996E-2</v>
      </c>
      <c r="AG13" s="34">
        <f t="shared" ca="1" si="42"/>
        <v>10</v>
      </c>
      <c r="AH13" s="35">
        <f t="shared" ca="1" si="43"/>
        <v>0.99999999999999989</v>
      </c>
      <c r="AI13" s="64">
        <f t="shared" ca="1" si="13"/>
        <v>1.515151515151515E-2</v>
      </c>
      <c r="AJ13" s="35">
        <f t="shared" ca="1" si="32"/>
        <v>6.0606060606060597</v>
      </c>
      <c r="AK13" s="45">
        <f>IF(SUMIF('Prepool 1'!$X$6:$X$38,X13,'Prepool 1'!$AH$6:$AH$38)=1,1,IF(SUMIF('Prepool 1'!$X$6:$X$38,X13,'Prepool 1'!$AH$6:$AH$38)=0,IF(SUMIF('Prepool 2'!$X$6:$X$38,X13,'Prepool 2'!$AH$6:$AH$38)=1,2,IF(SUMIF('Prepool 2'!$X$6:$X$38,X13,'Prepool 2'!$AH$6:$AH$38)=0,,"ERR")),"ERR"))</f>
        <v>1</v>
      </c>
      <c r="AL13" s="79"/>
      <c r="AM13" s="34">
        <f t="shared" si="15"/>
        <v>0</v>
      </c>
      <c r="AN13" s="35">
        <f t="shared" ca="1" si="44"/>
        <v>0</v>
      </c>
      <c r="AO13" s="35">
        <f t="shared" ca="1" si="45"/>
        <v>0</v>
      </c>
    </row>
    <row r="14" spans="1:41" s="36" customFormat="1" ht="15.65" x14ac:dyDescent="0.3">
      <c r="A14" s="36" t="str">
        <f>IF(INPUTS!A14=0,"none",INPUTS!A14)</f>
        <v>7050I</v>
      </c>
      <c r="B14" s="36" t="str">
        <f>IF(INPUTS!B14=0,"none",INPUTS!B14)</f>
        <v>EF27</v>
      </c>
      <c r="C14" s="109">
        <f>IF(B14="none",0,MATCH(B14,INPUTS!$B$6:$B$69,0))</f>
        <v>9</v>
      </c>
      <c r="D14" s="94">
        <f ca="1">IF($C14=0,"",OFFSET(INPUTS!D$5,$C14,0))</f>
        <v>3.1212</v>
      </c>
      <c r="E14" s="94">
        <f ca="1">IF($C14=0,"",OFFSET(INPUTS!E$5,$C14,0))</f>
        <v>20</v>
      </c>
      <c r="F14" s="115" t="str">
        <f ca="1">IF($C14=0,"",OFFSET(INPUTS!F$5,$C14,0))</f>
        <v>P4_C06</v>
      </c>
      <c r="G14" s="115">
        <f ca="1">IF($C14=0,"",OFFSET(INPUTS!G$5,$C14,0))</f>
        <v>0</v>
      </c>
      <c r="H14" s="94">
        <f ca="1">IF($C14=0,"",OFFSET(INPUTS!H$5,$C14,0))</f>
        <v>197</v>
      </c>
      <c r="I14" s="94">
        <f ca="1">IF($C14=0,"",OFFSET(INPUTS!I$5,$C14,0))</f>
        <v>0</v>
      </c>
      <c r="J14" s="94">
        <f ca="1">IF($C14=0,"",OFFSET(INPUTS!J$5,$C14,0))</f>
        <v>0</v>
      </c>
      <c r="K14" s="114">
        <f ca="1">IF($C14=0,"",OFFSET(INPUTS!K$5,$C14,0))</f>
        <v>24.005537609598523</v>
      </c>
      <c r="L14" s="114">
        <f ca="1">IF($C14=0,"",OFFSET(INPUTS!L$5,$C14,0))</f>
        <v>24.005537609598523</v>
      </c>
      <c r="M14" s="94">
        <f ca="1">IF($C14=0,"",OFFSET(INPUTS!M$5,$C14,0))</f>
        <v>0</v>
      </c>
      <c r="N14" s="94">
        <f ca="1">IF($C14=0,"",OFFSET(INPUTS!N$5,$C14,0))</f>
        <v>0</v>
      </c>
      <c r="O14" s="94" t="str">
        <f ca="1">IF($C14=0,"",OFFSET(INPUTS!O$5,$C14,0))</f>
        <v>nd</v>
      </c>
      <c r="P14" s="114">
        <f ca="1">IF($C14=0,"",OFFSET(INPUTS!P$5,$C14,0))</f>
        <v>24.005537609598523</v>
      </c>
      <c r="Q14" s="94">
        <f ca="1">IF($C14=0,"",OFFSET(INPUTS!Q$5,$C14,0))</f>
        <v>100</v>
      </c>
      <c r="R14" s="37">
        <f t="shared" ca="1" si="0"/>
        <v>24.005537609598523</v>
      </c>
      <c r="S14" s="34">
        <f t="shared" ref="S14:S17" ca="1" si="46">SUM(J14,R14)</f>
        <v>24.005537609598523</v>
      </c>
      <c r="T14" s="167" t="str">
        <f t="shared" ref="T14:T17" si="47">IF(A14=0,"",A14)</f>
        <v>7050I</v>
      </c>
      <c r="U14" s="41" t="str">
        <f t="shared" ref="U14:U17" ca="1" si="48">IF(M14=0,"",M14)</f>
        <v/>
      </c>
      <c r="V14" s="151" t="str">
        <f t="shared" ref="V14:V17" ca="1" si="49">IF(F14=0,"",F14&amp;IF(OR(G14="",G14=0),"","+"&amp;G14))</f>
        <v>P4_C06</v>
      </c>
      <c r="W14" s="130" t="str">
        <f t="shared" ca="1" si="4"/>
        <v/>
      </c>
      <c r="X14" s="39" t="str">
        <f t="shared" si="5"/>
        <v>EF27</v>
      </c>
      <c r="Y14" s="41"/>
      <c r="Z14" s="75" t="str">
        <f t="shared" ref="Z14:Z17" si="50">IF($AK14&gt;0,"",IF($R14="","",IF(AF14&lt;0.2,10,IF(AF14&lt;0.795,5,""))))</f>
        <v/>
      </c>
      <c r="AA14" s="40" t="str">
        <f t="shared" ref="AA14:AA17" si="51">IF($AK14&gt;0,"in Prepool",IF($R14="","",AF14*IF($Z14="",1,$Z14)))</f>
        <v>in Prepool</v>
      </c>
      <c r="AB14" s="171" t="str">
        <f t="shared" si="7"/>
        <v/>
      </c>
      <c r="AC14" s="41" t="str">
        <f t="shared" ref="AC14:AC17" si="52">IF($AK14&gt;0,"",IF($R14="","",R14*$AA14/IF($Z14="",1,$Z14)))</f>
        <v/>
      </c>
      <c r="AD14" s="35" t="str">
        <f t="shared" ref="AD14:AD17" si="53">IF($AK14&gt;0,"",IF($R14="","",S14*$AA14/IF($Z14="",1,$Z14)))</f>
        <v/>
      </c>
      <c r="AE14" s="42" t="str">
        <f t="shared" ref="AE14:AE17" si="54">IF($AK14&gt;0,"",IF($R14="","",D14*$AA14/IF($Z14="",1,$Z14)))</f>
        <v/>
      </c>
      <c r="AF14" s="34">
        <f t="shared" ref="AF14:AF17" ca="1" si="55">IF(R14="","",$AA$4/R14*Q14)</f>
        <v>0.41657054978854285</v>
      </c>
      <c r="AG14" s="34">
        <f t="shared" ref="AG14:AG17" ca="1" si="56">IF(R14="","",Q14)</f>
        <v>100</v>
      </c>
      <c r="AH14" s="35">
        <f t="shared" ref="AH14:AH17" ca="1" si="57">IF(R14="","",R14*AF14)</f>
        <v>10</v>
      </c>
      <c r="AI14" s="64">
        <f t="shared" ca="1" si="13"/>
        <v>0.15151515151515152</v>
      </c>
      <c r="AJ14" s="35">
        <f t="shared" ref="AJ14:AJ17" ca="1" si="58">IF($AF14="","",$AJ$2*AI14)</f>
        <v>60.606060606060609</v>
      </c>
      <c r="AK14" s="45">
        <f>IF(SUMIF('Prepool 1'!$X$6:$X$38,X14,'Prepool 1'!$AH$6:$AH$38)=1,1,IF(SUMIF('Prepool 1'!$X$6:$X$38,X14,'Prepool 1'!$AH$6:$AH$38)=0,IF(SUMIF('Prepool 2'!$X$6:$X$38,X14,'Prepool 2'!$AH$6:$AH$38)=1,2,IF(SUMIF('Prepool 2'!$X$6:$X$38,X14,'Prepool 2'!$AH$6:$AH$38)=0,,"ERR")),"ERR"))</f>
        <v>2</v>
      </c>
      <c r="AL14" s="79"/>
      <c r="AM14" s="34">
        <f t="shared" si="15"/>
        <v>0</v>
      </c>
      <c r="AN14" s="35">
        <f t="shared" ref="AN14:AN17" ca="1" si="59">IF($AF14="","",AM14/AI14)</f>
        <v>0</v>
      </c>
      <c r="AO14" s="35">
        <f t="shared" ref="AO14:AO17" ca="1" si="60">IF($AF14="","",AN14*R14)</f>
        <v>0</v>
      </c>
    </row>
    <row r="15" spans="1:41" s="36" customFormat="1" ht="15.65" x14ac:dyDescent="0.3">
      <c r="A15" s="36" t="str">
        <f>IF(INPUTS!A15=0,"none",INPUTS!A15)</f>
        <v>7050I</v>
      </c>
      <c r="B15" s="36" t="str">
        <f>IF(INPUTS!B15=0,"none",INPUTS!B15)</f>
        <v>EF28</v>
      </c>
      <c r="C15" s="109">
        <f>IF(B15="none",0,MATCH(B15,INPUTS!$B$6:$B$69,0))</f>
        <v>10</v>
      </c>
      <c r="D15" s="94">
        <f ca="1">IF($C15=0,"",OFFSET(INPUTS!D$5,$C15,0))</f>
        <v>0.1</v>
      </c>
      <c r="E15" s="94">
        <f ca="1">IF($C15=0,"",OFFSET(INPUTS!E$5,$C15,0))</f>
        <v>20</v>
      </c>
      <c r="F15" s="115" t="str">
        <f ca="1">IF($C15=0,"",OFFSET(INPUTS!F$5,$C15,0))</f>
        <v>P4_D06</v>
      </c>
      <c r="G15" s="115">
        <f ca="1">IF($C15=0,"",OFFSET(INPUTS!G$5,$C15,0))</f>
        <v>0</v>
      </c>
      <c r="H15" s="94">
        <f ca="1">IF($C15=0,"",OFFSET(INPUTS!H$5,$C15,0))</f>
        <v>198</v>
      </c>
      <c r="I15" s="94">
        <f ca="1">IF($C15=0,"",OFFSET(INPUTS!I$5,$C15,0))</f>
        <v>0</v>
      </c>
      <c r="J15" s="94">
        <f ca="1">IF($C15=0,"",OFFSET(INPUTS!J$5,$C15,0))</f>
        <v>0</v>
      </c>
      <c r="K15" s="114">
        <f ca="1">IF($C15=0,"",OFFSET(INPUTS!K$5,$C15,0))</f>
        <v>0.76522803795531069</v>
      </c>
      <c r="L15" s="114">
        <f ca="1">IF($C15=0,"",OFFSET(INPUTS!L$5,$C15,0))</f>
        <v>0.76522803795531069</v>
      </c>
      <c r="M15" s="94">
        <f ca="1">IF($C15=0,"",OFFSET(INPUTS!M$5,$C15,0))</f>
        <v>0</v>
      </c>
      <c r="N15" s="94">
        <f ca="1">IF($C15=0,"",OFFSET(INPUTS!N$5,$C15,0))</f>
        <v>0</v>
      </c>
      <c r="O15" s="94" t="str">
        <f ca="1">IF($C15=0,"",OFFSET(INPUTS!O$5,$C15,0))</f>
        <v>nd</v>
      </c>
      <c r="P15" s="114">
        <f ca="1">IF($C15=0,"",OFFSET(INPUTS!P$5,$C15,0))</f>
        <v>0.76522803795531069</v>
      </c>
      <c r="Q15" s="94">
        <f ca="1">IF($C15=0,"",OFFSET(INPUTS!Q$5,$C15,0))</f>
        <v>10</v>
      </c>
      <c r="R15" s="37">
        <f t="shared" ca="1" si="0"/>
        <v>0.76522803795531069</v>
      </c>
      <c r="S15" s="34">
        <f t="shared" ca="1" si="46"/>
        <v>0.76522803795531069</v>
      </c>
      <c r="T15" s="167" t="str">
        <f t="shared" si="47"/>
        <v>7050I</v>
      </c>
      <c r="U15" s="41" t="str">
        <f t="shared" ca="1" si="48"/>
        <v/>
      </c>
      <c r="V15" s="151" t="str">
        <f t="shared" ca="1" si="49"/>
        <v>P4_D06</v>
      </c>
      <c r="W15" s="130" t="str">
        <f t="shared" ca="1" si="4"/>
        <v/>
      </c>
      <c r="X15" s="39" t="str">
        <f t="shared" si="5"/>
        <v>EF28</v>
      </c>
      <c r="Y15" s="41"/>
      <c r="Z15" s="75" t="str">
        <f t="shared" si="50"/>
        <v/>
      </c>
      <c r="AA15" s="40" t="str">
        <f t="shared" si="51"/>
        <v>in Prepool</v>
      </c>
      <c r="AB15" s="171" t="str">
        <f t="shared" si="7"/>
        <v/>
      </c>
      <c r="AC15" s="41" t="str">
        <f t="shared" si="52"/>
        <v/>
      </c>
      <c r="AD15" s="35" t="str">
        <f t="shared" si="53"/>
        <v/>
      </c>
      <c r="AE15" s="42" t="str">
        <f t="shared" si="54"/>
        <v/>
      </c>
      <c r="AF15" s="34">
        <f t="shared" ca="1" si="55"/>
        <v>1.3068000000000002</v>
      </c>
      <c r="AG15" s="34">
        <f t="shared" ca="1" si="56"/>
        <v>10</v>
      </c>
      <c r="AH15" s="35">
        <f t="shared" ca="1" si="57"/>
        <v>1.0000000000000002</v>
      </c>
      <c r="AI15" s="64">
        <f t="shared" ca="1" si="13"/>
        <v>1.5151515151515155E-2</v>
      </c>
      <c r="AJ15" s="35">
        <f t="shared" ca="1" si="58"/>
        <v>6.0606060606060623</v>
      </c>
      <c r="AK15" s="45">
        <f>IF(SUMIF('Prepool 1'!$X$6:$X$38,X15,'Prepool 1'!$AH$6:$AH$38)=1,1,IF(SUMIF('Prepool 1'!$X$6:$X$38,X15,'Prepool 1'!$AH$6:$AH$38)=0,IF(SUMIF('Prepool 2'!$X$6:$X$38,X15,'Prepool 2'!$AH$6:$AH$38)=1,2,IF(SUMIF('Prepool 2'!$X$6:$X$38,X15,'Prepool 2'!$AH$6:$AH$38)=0,,"ERR")),"ERR"))</f>
        <v>2</v>
      </c>
      <c r="AL15" s="79"/>
      <c r="AM15" s="34">
        <f t="shared" si="15"/>
        <v>0</v>
      </c>
      <c r="AN15" s="35">
        <f t="shared" ca="1" si="59"/>
        <v>0</v>
      </c>
      <c r="AO15" s="35">
        <f t="shared" ca="1" si="60"/>
        <v>0</v>
      </c>
    </row>
    <row r="16" spans="1:41" s="36" customFormat="1" ht="15.65" x14ac:dyDescent="0.3">
      <c r="A16" s="36" t="str">
        <f>IF(INPUTS!A16=0,"none",INPUTS!A16)</f>
        <v>7050I</v>
      </c>
      <c r="B16" s="36" t="str">
        <f>IF(INPUTS!B16=0,"none",INPUTS!B16)</f>
        <v>EF29</v>
      </c>
      <c r="C16" s="109">
        <f>IF(B16="none",0,MATCH(B16,INPUTS!$B$6:$B$69,0))</f>
        <v>11</v>
      </c>
      <c r="D16" s="94">
        <f ca="1">IF($C16=0,"",OFFSET(INPUTS!D$5,$C16,0))</f>
        <v>0.1</v>
      </c>
      <c r="E16" s="94">
        <f ca="1">IF($C16=0,"",OFFSET(INPUTS!E$5,$C16,0))</f>
        <v>20</v>
      </c>
      <c r="F16" s="115" t="str">
        <f ca="1">IF($C16=0,"",OFFSET(INPUTS!F$5,$C16,0))</f>
        <v>P4_E06</v>
      </c>
      <c r="G16" s="115">
        <f ca="1">IF($C16=0,"",OFFSET(INPUTS!G$5,$C16,0))</f>
        <v>0</v>
      </c>
      <c r="H16" s="94">
        <f ca="1">IF($C16=0,"",OFFSET(INPUTS!H$5,$C16,0))</f>
        <v>196</v>
      </c>
      <c r="I16" s="94">
        <f ca="1">IF($C16=0,"",OFFSET(INPUTS!I$5,$C16,0))</f>
        <v>0</v>
      </c>
      <c r="J16" s="94">
        <f ca="1">IF($C16=0,"",OFFSET(INPUTS!J$5,$C16,0))</f>
        <v>0</v>
      </c>
      <c r="K16" s="114">
        <f ca="1">IF($C16=0,"",OFFSET(INPUTS!K$5,$C16,0))</f>
        <v>0.77303648732220165</v>
      </c>
      <c r="L16" s="114">
        <f ca="1">IF($C16=0,"",OFFSET(INPUTS!L$5,$C16,0))</f>
        <v>0.77303648732220165</v>
      </c>
      <c r="M16" s="94">
        <f ca="1">IF($C16=0,"",OFFSET(INPUTS!M$5,$C16,0))</f>
        <v>0</v>
      </c>
      <c r="N16" s="94">
        <f ca="1">IF($C16=0,"",OFFSET(INPUTS!N$5,$C16,0))</f>
        <v>0</v>
      </c>
      <c r="O16" s="94" t="str">
        <f ca="1">IF($C16=0,"",OFFSET(INPUTS!O$5,$C16,0))</f>
        <v>nd</v>
      </c>
      <c r="P16" s="114">
        <f ca="1">IF($C16=0,"",OFFSET(INPUTS!P$5,$C16,0))</f>
        <v>0.77303648732220165</v>
      </c>
      <c r="Q16" s="94">
        <f ca="1">IF($C16=0,"",OFFSET(INPUTS!Q$5,$C16,0))</f>
        <v>100</v>
      </c>
      <c r="R16" s="37">
        <f t="shared" ca="1" si="0"/>
        <v>0.77303648732220165</v>
      </c>
      <c r="S16" s="34">
        <f t="shared" ca="1" si="46"/>
        <v>0.77303648732220165</v>
      </c>
      <c r="T16" s="167" t="str">
        <f t="shared" si="47"/>
        <v>7050I</v>
      </c>
      <c r="U16" s="41" t="str">
        <f t="shared" ca="1" si="48"/>
        <v/>
      </c>
      <c r="V16" s="151" t="str">
        <f t="shared" ca="1" si="49"/>
        <v>P4_E06</v>
      </c>
      <c r="W16" s="130" t="str">
        <f t="shared" ca="1" si="4"/>
        <v/>
      </c>
      <c r="X16" s="39" t="str">
        <f t="shared" si="5"/>
        <v>EF29</v>
      </c>
      <c r="Y16" s="41"/>
      <c r="Z16" s="75" t="str">
        <f t="shared" ca="1" si="50"/>
        <v/>
      </c>
      <c r="AA16" s="40">
        <f t="shared" ca="1" si="51"/>
        <v>12.936</v>
      </c>
      <c r="AB16" s="171">
        <f t="shared" ca="1" si="7"/>
        <v>1</v>
      </c>
      <c r="AC16" s="41">
        <f t="shared" ca="1" si="52"/>
        <v>10</v>
      </c>
      <c r="AD16" s="35">
        <f t="shared" ca="1" si="53"/>
        <v>10</v>
      </c>
      <c r="AE16" s="42">
        <f t="shared" ca="1" si="54"/>
        <v>1.2936000000000001</v>
      </c>
      <c r="AF16" s="34">
        <f t="shared" ca="1" si="55"/>
        <v>12.936</v>
      </c>
      <c r="AG16" s="34">
        <f t="shared" ca="1" si="56"/>
        <v>100</v>
      </c>
      <c r="AH16" s="35">
        <f t="shared" ca="1" si="57"/>
        <v>10</v>
      </c>
      <c r="AI16" s="64">
        <f t="shared" ca="1" si="13"/>
        <v>0.15151515151515152</v>
      </c>
      <c r="AJ16" s="35">
        <f t="shared" ca="1" si="58"/>
        <v>60.606060606060609</v>
      </c>
      <c r="AK16" s="45">
        <f>IF(SUMIF('Prepool 1'!$X$6:$X$38,X16,'Prepool 1'!$AH$6:$AH$38)=1,1,IF(SUMIF('Prepool 1'!$X$6:$X$38,X16,'Prepool 1'!$AH$6:$AH$38)=0,IF(SUMIF('Prepool 2'!$X$6:$X$38,X16,'Prepool 2'!$AH$6:$AH$38)=1,2,IF(SUMIF('Prepool 2'!$X$6:$X$38,X16,'Prepool 2'!$AH$6:$AH$38)=0,,"ERR")),"ERR"))</f>
        <v>0</v>
      </c>
      <c r="AL16" s="79"/>
      <c r="AM16" s="34">
        <f t="shared" si="15"/>
        <v>0</v>
      </c>
      <c r="AN16" s="35">
        <f t="shared" ca="1" si="59"/>
        <v>0</v>
      </c>
      <c r="AO16" s="35">
        <f t="shared" ca="1" si="60"/>
        <v>0</v>
      </c>
    </row>
    <row r="17" spans="1:41" s="36" customFormat="1" ht="16.3" thickBot="1" x14ac:dyDescent="0.35">
      <c r="A17" s="162" t="str">
        <f>IF(INPUTS!A17=0,"none",INPUTS!A17)</f>
        <v>7050I</v>
      </c>
      <c r="B17" s="162" t="str">
        <f>IF(INPUTS!B17=0,"none",INPUTS!B17)</f>
        <v>EF30</v>
      </c>
      <c r="C17" s="213">
        <f>IF(B17="none",0,MATCH(B17,INPUTS!$B$6:$B$69,0))</f>
        <v>12</v>
      </c>
      <c r="D17" s="164">
        <f ca="1">IF($C17=0,"",OFFSET(INPUTS!D$5,$C17,0))</f>
        <v>0.1</v>
      </c>
      <c r="E17" s="164">
        <f ca="1">IF($C17=0,"",OFFSET(INPUTS!E$5,$C17,0))</f>
        <v>20</v>
      </c>
      <c r="F17" s="165" t="str">
        <f ca="1">IF($C17=0,"",OFFSET(INPUTS!F$5,$C17,0))</f>
        <v>P4_F06</v>
      </c>
      <c r="G17" s="165">
        <f ca="1">IF($C17=0,"",OFFSET(INPUTS!G$5,$C17,0))</f>
        <v>0</v>
      </c>
      <c r="H17" s="164">
        <f ca="1">IF($C17=0,"",OFFSET(INPUTS!H$5,$C17,0))</f>
        <v>197</v>
      </c>
      <c r="I17" s="164">
        <f ca="1">IF($C17=0,"",OFFSET(INPUTS!I$5,$C17,0))</f>
        <v>0</v>
      </c>
      <c r="J17" s="164">
        <f ca="1">IF($C17=0,"",OFFSET(INPUTS!J$5,$C17,0))</f>
        <v>0</v>
      </c>
      <c r="K17" s="214">
        <f ca="1">IF($C17=0,"",OFFSET(INPUTS!K$5,$C17,0))</f>
        <v>0.76911244423934777</v>
      </c>
      <c r="L17" s="214">
        <f ca="1">IF($C17=0,"",OFFSET(INPUTS!L$5,$C17,0))</f>
        <v>0.76911244423934777</v>
      </c>
      <c r="M17" s="164">
        <f ca="1">IF($C17=0,"",OFFSET(INPUTS!M$5,$C17,0))</f>
        <v>0</v>
      </c>
      <c r="N17" s="164">
        <f ca="1">IF($C17=0,"",OFFSET(INPUTS!N$5,$C17,0))</f>
        <v>0</v>
      </c>
      <c r="O17" s="164" t="str">
        <f ca="1">IF($C17=0,"",OFFSET(INPUTS!O$5,$C17,0))</f>
        <v>nd</v>
      </c>
      <c r="P17" s="214">
        <f ca="1">IF($C17=0,"",OFFSET(INPUTS!P$5,$C17,0))</f>
        <v>0.76911244423934777</v>
      </c>
      <c r="Q17" s="164">
        <f ca="1">IF($C17=0,"",OFFSET(INPUTS!Q$5,$C17,0))</f>
        <v>10</v>
      </c>
      <c r="R17" s="215">
        <f t="shared" ca="1" si="0"/>
        <v>0.76911244423934777</v>
      </c>
      <c r="S17" s="216">
        <f t="shared" ca="1" si="46"/>
        <v>0.76911244423934777</v>
      </c>
      <c r="T17" s="217" t="str">
        <f t="shared" si="47"/>
        <v>7050I</v>
      </c>
      <c r="U17" s="218" t="str">
        <f t="shared" ca="1" si="48"/>
        <v/>
      </c>
      <c r="V17" s="219" t="str">
        <f t="shared" ca="1" si="49"/>
        <v>P4_F06</v>
      </c>
      <c r="W17" s="220" t="str">
        <f t="shared" ca="1" si="4"/>
        <v/>
      </c>
      <c r="X17" s="221" t="str">
        <f t="shared" si="5"/>
        <v>EF30</v>
      </c>
      <c r="Y17" s="218"/>
      <c r="Z17" s="222" t="str">
        <f t="shared" si="50"/>
        <v/>
      </c>
      <c r="AA17" s="158" t="str">
        <f t="shared" si="51"/>
        <v>in Prepool</v>
      </c>
      <c r="AB17" s="223" t="str">
        <f t="shared" si="7"/>
        <v/>
      </c>
      <c r="AC17" s="218" t="str">
        <f t="shared" si="52"/>
        <v/>
      </c>
      <c r="AD17" s="224" t="str">
        <f t="shared" si="53"/>
        <v/>
      </c>
      <c r="AE17" s="225" t="str">
        <f t="shared" si="54"/>
        <v/>
      </c>
      <c r="AF17" s="216">
        <f t="shared" ca="1" si="55"/>
        <v>1.3002000000000002</v>
      </c>
      <c r="AG17" s="216">
        <f t="shared" ca="1" si="56"/>
        <v>10</v>
      </c>
      <c r="AH17" s="224">
        <f t="shared" ca="1" si="57"/>
        <v>1.0000000000000002</v>
      </c>
      <c r="AI17" s="226">
        <f t="shared" ca="1" si="13"/>
        <v>1.5151515151515155E-2</v>
      </c>
      <c r="AJ17" s="224">
        <f t="shared" ca="1" si="58"/>
        <v>6.0606060606060623</v>
      </c>
      <c r="AK17" s="227">
        <f>IF(SUMIF('Prepool 1'!$X$6:$X$38,X17,'Prepool 1'!$AH$6:$AH$38)=1,1,IF(SUMIF('Prepool 1'!$X$6:$X$38,X17,'Prepool 1'!$AH$6:$AH$38)=0,IF(SUMIF('Prepool 2'!$X$6:$X$38,X17,'Prepool 2'!$AH$6:$AH$38)=1,2,IF(SUMIF('Prepool 2'!$X$6:$X$38,X17,'Prepool 2'!$AH$6:$AH$38)=0,,"ERR")),"ERR"))</f>
        <v>2</v>
      </c>
      <c r="AL17" s="228"/>
      <c r="AM17" s="216">
        <f t="shared" si="15"/>
        <v>0</v>
      </c>
      <c r="AN17" s="224">
        <f t="shared" ca="1" si="59"/>
        <v>0</v>
      </c>
      <c r="AO17" s="224">
        <f t="shared" ca="1" si="60"/>
        <v>0</v>
      </c>
    </row>
    <row r="18" spans="1:41" ht="16.3" thickBot="1" x14ac:dyDescent="0.35">
      <c r="A18" s="51"/>
      <c r="B18" s="51" t="s">
        <v>61</v>
      </c>
      <c r="C18" s="111"/>
      <c r="D18" s="56">
        <f ca="1">'Prepool 1'!$AA$46</f>
        <v>2.2892019471384484</v>
      </c>
      <c r="E18" s="56">
        <f ca="1">'Prepool 1'!$AA$43</f>
        <v>6.8329489320733954</v>
      </c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166"/>
      <c r="Q18" s="166"/>
      <c r="R18" s="53">
        <f ca="1">'Prepool 1'!$AA$44</f>
        <v>17.561963537694275</v>
      </c>
      <c r="S18" s="53">
        <f ca="1">'Prepool 1'!$AA$44</f>
        <v>17.561963537694275</v>
      </c>
      <c r="T18" s="168"/>
      <c r="U18" s="53"/>
      <c r="V18" s="155" t="s">
        <v>62</v>
      </c>
      <c r="W18" s="52"/>
      <c r="X18" s="54" t="str">
        <f t="shared" ref="X18:X19" si="61">$B18</f>
        <v>Prepool 1</v>
      </c>
      <c r="Y18" s="144" t="str">
        <f ca="1">'Prepool 1'!$AA$47&amp;" libs"</f>
        <v>4 libs</v>
      </c>
      <c r="Z18" s="83">
        <f ca="1">IF(AF18&lt;0.2,10,IF(AF18&lt;0.795,5,""))</f>
        <v>5</v>
      </c>
      <c r="AA18" s="187">
        <f ca="1">IF(OR(R18="",AK$3="no"),"",AF18*IF($Z18="",1,$Z18))</f>
        <v>1.1388248220122326</v>
      </c>
      <c r="AB18" s="188">
        <f t="shared" ca="1" si="7"/>
        <v>3</v>
      </c>
      <c r="AC18" s="55">
        <f ca="1">IF(OR(R18="",AK$3="no"),"",R18*$AA18/IF($Z18="",1,$Z18))</f>
        <v>4</v>
      </c>
      <c r="AD18" s="56">
        <f ca="1">IF(OR(R18="",AK$3="no"),"",S18*$AA18/IF($Z18="",1,$Z18))</f>
        <v>4</v>
      </c>
      <c r="AE18" s="57">
        <f ca="1">IF(OR(R18="",AK$3="no"),"",D18*$AA18/IF($Z18="",1,$Z18))</f>
        <v>0.52139999999999997</v>
      </c>
      <c r="AF18" s="58">
        <f ca="1">IF(OR(R18="",AK$3="no"),"",$AA$4/R18*AG18)</f>
        <v>0.22776496440244651</v>
      </c>
      <c r="AG18" s="59">
        <f ca="1">SUM('Prepool 1'!$AG$5:$AG$39)</f>
        <v>40</v>
      </c>
      <c r="AH18" s="56">
        <f ca="1">IF(OR(R18="",AK$3="no"),"",R18*AF18)</f>
        <v>4</v>
      </c>
      <c r="AI18" s="60"/>
      <c r="AJ18" s="61"/>
      <c r="AK18" s="62">
        <v>1</v>
      </c>
      <c r="AL18" s="63"/>
      <c r="AM18" s="56"/>
      <c r="AN18" s="56"/>
      <c r="AO18" s="56"/>
    </row>
    <row r="19" spans="1:41" ht="16.3" thickBot="1" x14ac:dyDescent="0.35">
      <c r="A19" s="51"/>
      <c r="B19" s="51" t="s">
        <v>63</v>
      </c>
      <c r="C19" s="111"/>
      <c r="D19" s="56">
        <f ca="1">'Prepool 2'!$AA$46</f>
        <v>1.2087637111412326</v>
      </c>
      <c r="E19" s="56">
        <f ca="1">'Prepool 2'!$AA$43</f>
        <v>22.484791485293371</v>
      </c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6"/>
      <c r="Q19" s="166"/>
      <c r="R19" s="53">
        <f ca="1">'Prepool 2'!$AA$44</f>
        <v>9.2506973051560912</v>
      </c>
      <c r="S19" s="53">
        <f ca="1">'Prepool 2'!$AA$44</f>
        <v>9.2506973051560912</v>
      </c>
      <c r="T19" s="168"/>
      <c r="U19" s="53"/>
      <c r="V19" s="155" t="s">
        <v>62</v>
      </c>
      <c r="W19" s="157"/>
      <c r="X19" s="54" t="str">
        <f t="shared" si="61"/>
        <v>Prepool 2</v>
      </c>
      <c r="Y19" s="144" t="str">
        <f ca="1">'Prepool 2'!$AA$47&amp;" libs"</f>
        <v>7 libs</v>
      </c>
      <c r="Z19" s="83" t="str">
        <f ca="1">IF(AF19&lt;0.2,10,IF(AF19&lt;0.795,5,""))</f>
        <v/>
      </c>
      <c r="AA19" s="156">
        <f ca="1">IF(OR(R19="",AK$3="no"),"",AF19*IF($Z19="",1,$Z19))</f>
        <v>5.6211978713233428</v>
      </c>
      <c r="AB19" s="172">
        <f t="shared" ca="1" si="7"/>
        <v>2</v>
      </c>
      <c r="AC19" s="55">
        <f ca="1">IF(OR(R19="",AK$3="no"),"",R19*$AA19/IF($Z19="",1,$Z19))</f>
        <v>52.000000000000007</v>
      </c>
      <c r="AD19" s="56">
        <f ca="1">IF(OR(R19="",AK$3="no"),"",S19*$AA19/IF($Z19="",1,$Z19))</f>
        <v>52.000000000000007</v>
      </c>
      <c r="AE19" s="57">
        <f ca="1">IF(OR(R19="",AK$3="no"),"",D19*$AA19/IF($Z19="",1,$Z19))</f>
        <v>6.7947000000000006</v>
      </c>
      <c r="AF19" s="58">
        <f ca="1">IF(OR(R19="",AK$3="no"),"",$AA$4/R19*AG19)</f>
        <v>5.6211978713233428</v>
      </c>
      <c r="AG19" s="59">
        <f ca="1">SUM('Prepool 2'!$AG$5:$AG$39)</f>
        <v>520</v>
      </c>
      <c r="AH19" s="56">
        <f ca="1">IF(OR(R19="",AK$3="no"),"",R19*AF19)</f>
        <v>52.000000000000007</v>
      </c>
      <c r="AI19" s="60"/>
      <c r="AJ19" s="61"/>
      <c r="AK19" s="62">
        <v>2</v>
      </c>
      <c r="AL19" s="63"/>
      <c r="AM19" s="56"/>
      <c r="AN19" s="56"/>
      <c r="AO19" s="56"/>
    </row>
    <row r="20" spans="1:41" x14ac:dyDescent="0.3">
      <c r="A20" s="2"/>
      <c r="H20" s="8">
        <f ca="1">IF(COUNT(H6:H17)=0,0,AVERAGE(H6:H17))</f>
        <v>197.58333333333334</v>
      </c>
      <c r="I20" t="s">
        <v>64</v>
      </c>
      <c r="Y20" s="5"/>
      <c r="AA20" s="5">
        <f ca="1">SUM(AA6:AA19)</f>
        <v>19.696022693335575</v>
      </c>
      <c r="AB20" s="5"/>
      <c r="AC20" s="5">
        <f ca="1">SUM(AC6:AC19)</f>
        <v>66</v>
      </c>
      <c r="AD20" s="5">
        <f ca="1">SUM(AD6:AD19)</f>
        <v>66</v>
      </c>
      <c r="AE20" s="5">
        <f ca="1">SUM(AE6:AE19)</f>
        <v>8.6097000000000001</v>
      </c>
      <c r="AF20" s="44"/>
      <c r="AG20" s="44">
        <f ca="1">SUM(AG6:AG17)</f>
        <v>660</v>
      </c>
      <c r="AH20" s="44">
        <f ca="1">SUM(AH6:AH17)</f>
        <v>66</v>
      </c>
      <c r="AI20" s="44">
        <f ca="1">SUM(AI6:AI17)</f>
        <v>1</v>
      </c>
      <c r="AJ20" s="44">
        <f ca="1">SUM(AJ6:AJ17)</f>
        <v>400.00000000000006</v>
      </c>
      <c r="AK20" s="44">
        <f>SUM(AK6:AK17)</f>
        <v>18</v>
      </c>
      <c r="AL20" s="46">
        <f>MAX(1,SUM(AL6:AL17))</f>
        <v>1</v>
      </c>
    </row>
    <row r="21" spans="1:41" x14ac:dyDescent="0.3">
      <c r="J21" s="8">
        <f ca="1">SUMPRODUCT(J$6:J$17,$AF$6:$AF$17)</f>
        <v>0</v>
      </c>
      <c r="K21" s="8">
        <f ca="1">SUMPRODUCT(K$6:K$17,$AF$6:$AF$17)</f>
        <v>66</v>
      </c>
      <c r="L21" s="8"/>
      <c r="P21" s="8">
        <f ca="1">SUMPRODUCT(P$6:P$17,$AF$6:$AF$17)</f>
        <v>66</v>
      </c>
      <c r="Q21" s="3" t="s">
        <v>65</v>
      </c>
      <c r="R21" s="11"/>
      <c r="S21" s="11"/>
      <c r="T21" s="112" t="s">
        <v>946</v>
      </c>
      <c r="U21" s="11"/>
      <c r="Y21" s="5"/>
      <c r="AD21" s="5"/>
      <c r="AE21" s="5"/>
      <c r="AF21" s="16"/>
      <c r="AG21" s="16"/>
      <c r="AH21" s="16"/>
    </row>
    <row r="22" spans="1:41" x14ac:dyDescent="0.3">
      <c r="I22" s="1" t="s">
        <v>66</v>
      </c>
      <c r="J22" s="70">
        <f ca="1">IF(J21=0,0,J21/K21)</f>
        <v>0</v>
      </c>
      <c r="K22" s="70"/>
      <c r="T22" s="11"/>
      <c r="Y22" s="3"/>
      <c r="Z22" s="1" t="s">
        <v>67</v>
      </c>
      <c r="AA22" s="5">
        <f ca="1">SUM(AA6:AA19)</f>
        <v>19.696022693335575</v>
      </c>
      <c r="AB22" s="16" t="s">
        <v>68</v>
      </c>
      <c r="AD22" s="3"/>
      <c r="AE22" s="16"/>
      <c r="AF22" s="16"/>
      <c r="AG22" s="16"/>
      <c r="AH22" s="16"/>
    </row>
    <row r="23" spans="1:41" x14ac:dyDescent="0.3">
      <c r="T23" s="11"/>
      <c r="U23" s="183"/>
      <c r="V23" s="183"/>
      <c r="Y23" s="3"/>
      <c r="Z23" s="184" t="s">
        <v>69</v>
      </c>
      <c r="AA23" s="159">
        <f>AC23</f>
        <v>0</v>
      </c>
      <c r="AB23" s="185" t="s">
        <v>68</v>
      </c>
      <c r="AC23" s="84">
        <v>0</v>
      </c>
      <c r="AD23" s="3" t="s">
        <v>70</v>
      </c>
      <c r="AE23" s="16"/>
      <c r="AF23" s="16"/>
      <c r="AG23" s="16"/>
      <c r="AH23" s="16"/>
    </row>
    <row r="24" spans="1:41" x14ac:dyDescent="0.3">
      <c r="T24" s="11"/>
      <c r="U24" s="234"/>
      <c r="V24" s="234"/>
      <c r="Y24" s="1"/>
      <c r="Z24" s="1" t="s">
        <v>71</v>
      </c>
      <c r="AA24" s="28">
        <f ca="1">SUM(AA22:AA23)</f>
        <v>19.696022693335575</v>
      </c>
      <c r="AB24" s="16" t="s">
        <v>515</v>
      </c>
      <c r="AD24" s="1"/>
      <c r="AE24" s="16"/>
      <c r="AF24" s="16"/>
      <c r="AG24" s="16"/>
      <c r="AH24" s="16"/>
    </row>
    <row r="25" spans="1:41" x14ac:dyDescent="0.3">
      <c r="Y25" s="1"/>
      <c r="Z25" s="229"/>
      <c r="AA25" s="148">
        <f ca="1">IF($AA$22=0,"",AC20/$AA$24)</f>
        <v>3.3509303389629026</v>
      </c>
      <c r="AB25" s="7" t="s">
        <v>516</v>
      </c>
      <c r="AD25" s="1"/>
      <c r="AE25" s="16"/>
      <c r="AF25" s="16"/>
      <c r="AG25" s="16"/>
      <c r="AH25" s="16"/>
    </row>
    <row r="26" spans="1:41" x14ac:dyDescent="0.3">
      <c r="Y26" s="16"/>
      <c r="Z26" s="230" t="s">
        <v>947</v>
      </c>
      <c r="AA26" s="16">
        <f ca="1">IF($AA$22=0,"",AD20/$AA$24)</f>
        <v>3.3509303389629026</v>
      </c>
      <c r="AB26" t="s">
        <v>517</v>
      </c>
      <c r="AD26" s="16"/>
      <c r="AE26" s="16"/>
      <c r="AF26" s="16"/>
      <c r="AG26" s="16"/>
      <c r="AH26" s="16"/>
    </row>
    <row r="27" spans="1:41" x14ac:dyDescent="0.3">
      <c r="Y27" s="1"/>
      <c r="Z27" s="17"/>
      <c r="AA27" s="5">
        <f ca="1">IF($AA$22=0,"",AE20/$AA$24)</f>
        <v>0.43712886271771068</v>
      </c>
      <c r="AB27" t="s">
        <v>518</v>
      </c>
      <c r="AE27" s="2">
        <f ca="1">IF(AA24=0,"",AA27*AA24)</f>
        <v>8.6097000000000001</v>
      </c>
      <c r="AF27" s="195" t="s">
        <v>51</v>
      </c>
      <c r="AG27" s="16"/>
      <c r="AH27" s="16"/>
    </row>
    <row r="28" spans="1:41" ht="15.65" x14ac:dyDescent="0.3">
      <c r="S28" s="16"/>
      <c r="T28" s="16"/>
      <c r="U28" s="16"/>
      <c r="V28" s="16"/>
      <c r="W28" s="16"/>
      <c r="X28" s="22"/>
      <c r="Y28" s="5"/>
      <c r="Z28" s="1" t="s">
        <v>74</v>
      </c>
      <c r="AA28" s="8">
        <f ca="1">COUNTIF(AJ6:AJ17,"&gt;0")</f>
        <v>12</v>
      </c>
      <c r="AB28" s="16"/>
      <c r="AC28" s="16"/>
      <c r="AD28" s="5"/>
      <c r="AE28" s="5"/>
      <c r="AF28" s="16"/>
      <c r="AG28" s="16"/>
      <c r="AH28" s="16"/>
    </row>
    <row r="29" spans="1:41" x14ac:dyDescent="0.3">
      <c r="S29" s="16"/>
      <c r="T29" s="16"/>
      <c r="U29" s="16"/>
      <c r="V29" s="16"/>
      <c r="W29" s="16"/>
      <c r="AB29" s="8"/>
      <c r="AC29" s="8"/>
      <c r="AD29" s="5"/>
      <c r="AE29" s="5"/>
      <c r="AF29" s="16"/>
      <c r="AG29" s="16"/>
      <c r="AH29" s="16"/>
    </row>
    <row r="30" spans="1:41" x14ac:dyDescent="0.3">
      <c r="S30" s="16"/>
      <c r="T30" s="16"/>
      <c r="U30" s="16"/>
      <c r="V30" s="16"/>
      <c r="W30" s="16"/>
      <c r="X30" s="6" t="s">
        <v>509</v>
      </c>
      <c r="AA30" s="117" t="s">
        <v>35</v>
      </c>
      <c r="AB30" s="8"/>
      <c r="AC30" s="8"/>
      <c r="AD30" s="5"/>
      <c r="AE30" s="5"/>
      <c r="AF30" s="16"/>
      <c r="AG30" s="16"/>
      <c r="AH30" s="16"/>
    </row>
    <row r="31" spans="1:41" x14ac:dyDescent="0.3">
      <c r="R31" s="5"/>
      <c r="S31" s="16"/>
      <c r="T31" s="232" t="s">
        <v>951</v>
      </c>
      <c r="AA31">
        <v>2</v>
      </c>
      <c r="AB31" t="s">
        <v>510</v>
      </c>
      <c r="AD31" s="5"/>
      <c r="AE31" s="5"/>
      <c r="AF31" s="16"/>
      <c r="AG31" s="16"/>
      <c r="AH31" s="16"/>
    </row>
    <row r="32" spans="1:41" x14ac:dyDescent="0.3">
      <c r="R32" s="5"/>
      <c r="S32" s="16"/>
      <c r="Z32" s="1" t="s">
        <v>514</v>
      </c>
      <c r="AA32" s="5">
        <f ca="1">AA24*AA31</f>
        <v>39.39204538667115</v>
      </c>
      <c r="AB32" t="s">
        <v>511</v>
      </c>
      <c r="AD32" s="5"/>
      <c r="AE32" s="5"/>
      <c r="AF32" s="16"/>
      <c r="AG32" s="16"/>
      <c r="AH32" s="16"/>
    </row>
    <row r="33" spans="18:34" x14ac:dyDescent="0.3">
      <c r="R33" s="5"/>
      <c r="S33" s="16"/>
      <c r="Z33" s="1" t="s">
        <v>512</v>
      </c>
      <c r="AA33" s="194">
        <v>44</v>
      </c>
      <c r="AB33" t="s">
        <v>68</v>
      </c>
      <c r="AE33" s="5"/>
      <c r="AF33" s="16"/>
      <c r="AG33" s="16"/>
      <c r="AH33" s="16"/>
    </row>
    <row r="34" spans="18:34" x14ac:dyDescent="0.3">
      <c r="R34" s="5"/>
      <c r="S34" s="16"/>
      <c r="Z34" s="1" t="s">
        <v>513</v>
      </c>
      <c r="AA34" s="194"/>
      <c r="AB34" t="s">
        <v>17</v>
      </c>
      <c r="AE34" s="5"/>
      <c r="AF34" s="16"/>
      <c r="AG34" s="16"/>
      <c r="AH34" s="16"/>
    </row>
    <row r="35" spans="18:34" x14ac:dyDescent="0.3">
      <c r="R35" s="5"/>
      <c r="S35" s="16"/>
      <c r="Z35" s="195" t="s">
        <v>521</v>
      </c>
      <c r="AA35" s="196">
        <f ca="1">IF(AA33=0,"",AA24/AA33*AA27)</f>
        <v>0.19567500000000002</v>
      </c>
      <c r="AB35" s="2" t="s">
        <v>17</v>
      </c>
      <c r="AE35" s="5"/>
      <c r="AF35" s="16"/>
      <c r="AG35" s="16"/>
      <c r="AH35" s="16"/>
    </row>
    <row r="36" spans="18:34" x14ac:dyDescent="0.3">
      <c r="R36" s="5"/>
      <c r="S36" s="16"/>
      <c r="Z36" s="195" t="s">
        <v>522</v>
      </c>
      <c r="AA36" s="197">
        <f ca="1">IF(AA33=0,"",AA24/AA33*AA26)</f>
        <v>1.5</v>
      </c>
      <c r="AB36" s="2" t="s">
        <v>21</v>
      </c>
      <c r="AE36" s="5"/>
      <c r="AF36" s="16"/>
      <c r="AG36" s="16"/>
      <c r="AH36" s="16"/>
    </row>
    <row r="37" spans="18:34" x14ac:dyDescent="0.3">
      <c r="R37" s="5"/>
      <c r="S37" s="16"/>
      <c r="AE37" s="5"/>
      <c r="AF37" s="16"/>
      <c r="AG37" s="16"/>
      <c r="AH37" s="16"/>
    </row>
    <row r="38" spans="18:34" x14ac:dyDescent="0.3">
      <c r="R38" s="5"/>
      <c r="S38" s="16"/>
      <c r="X38" s="7" t="s">
        <v>948</v>
      </c>
      <c r="AA38" s="194">
        <v>20</v>
      </c>
      <c r="AB38" t="s">
        <v>950</v>
      </c>
      <c r="AE38" s="5"/>
      <c r="AF38" s="16"/>
      <c r="AG38" s="16"/>
      <c r="AH38" s="16"/>
    </row>
    <row r="39" spans="18:34" x14ac:dyDescent="0.3">
      <c r="R39" s="5"/>
      <c r="S39" s="16"/>
      <c r="Y39" s="7"/>
      <c r="AA39" s="231"/>
      <c r="AB39" t="s">
        <v>949</v>
      </c>
      <c r="AD39" s="5"/>
      <c r="AE39" s="5"/>
      <c r="AF39" s="16"/>
      <c r="AG39" s="16"/>
      <c r="AH39" s="16"/>
    </row>
    <row r="40" spans="18:34" x14ac:dyDescent="0.3">
      <c r="R40" s="5"/>
      <c r="S40" s="16"/>
      <c r="T40" s="16"/>
      <c r="U40" s="16"/>
      <c r="V40" s="16"/>
      <c r="W40" s="16"/>
      <c r="Z40" s="1"/>
      <c r="AA40" s="1"/>
      <c r="AB40" s="3"/>
      <c r="AC40" s="11"/>
      <c r="AD40" s="5"/>
      <c r="AE40" s="5"/>
      <c r="AF40" s="16"/>
      <c r="AG40" s="16"/>
      <c r="AH40" s="16"/>
    </row>
    <row r="41" spans="18:34" x14ac:dyDescent="0.3">
      <c r="R41" s="5"/>
      <c r="S41" s="16"/>
      <c r="T41" s="145" t="s">
        <v>75</v>
      </c>
      <c r="U41" s="16"/>
      <c r="V41" s="16"/>
      <c r="W41" s="16"/>
      <c r="Z41" s="1"/>
      <c r="AA41" s="1"/>
      <c r="AB41" s="3"/>
      <c r="AD41" s="5"/>
      <c r="AE41" s="5"/>
      <c r="AF41" s="16"/>
      <c r="AG41" s="16"/>
      <c r="AH41" s="16"/>
    </row>
    <row r="42" spans="18:34" ht="15.65" x14ac:dyDescent="0.3">
      <c r="R42" s="5"/>
      <c r="S42" s="16"/>
      <c r="T42" s="16"/>
      <c r="U42" s="16"/>
      <c r="V42" s="16"/>
      <c r="W42" s="16"/>
      <c r="X42" s="22"/>
      <c r="Y42" s="5"/>
      <c r="Z42" s="1"/>
      <c r="AA42" s="1"/>
      <c r="AB42" s="3"/>
      <c r="AC42" s="11"/>
      <c r="AD42" s="5"/>
      <c r="AE42" s="5"/>
      <c r="AF42" s="16"/>
      <c r="AG42" s="16"/>
      <c r="AH42" s="16"/>
    </row>
    <row r="43" spans="18:34" ht="15.65" x14ac:dyDescent="0.3">
      <c r="R43" s="5"/>
      <c r="S43" s="16"/>
      <c r="T43" s="16"/>
      <c r="U43" s="16"/>
      <c r="V43" s="16"/>
      <c r="W43" s="16"/>
      <c r="X43" s="22"/>
      <c r="Y43" s="5"/>
      <c r="Z43" s="11"/>
      <c r="AA43" s="11"/>
      <c r="AB43" s="11"/>
      <c r="AC43" s="11"/>
      <c r="AD43" s="5"/>
      <c r="AE43" s="5"/>
      <c r="AF43" s="16"/>
      <c r="AG43" s="16"/>
      <c r="AH43" s="16"/>
    </row>
    <row r="44" spans="18:34" ht="15.65" x14ac:dyDescent="0.3">
      <c r="R44" s="5"/>
      <c r="S44" s="16"/>
      <c r="T44" s="16"/>
      <c r="U44" s="16"/>
      <c r="V44" s="16"/>
      <c r="W44" s="16"/>
      <c r="X44" s="22"/>
      <c r="Y44" s="5"/>
      <c r="Z44" s="11"/>
      <c r="AA44" s="11"/>
      <c r="AB44" s="11"/>
      <c r="AC44" s="11"/>
      <c r="AD44" s="5"/>
      <c r="AE44" s="5"/>
      <c r="AF44" s="16"/>
      <c r="AG44" s="16"/>
      <c r="AH44" s="16"/>
    </row>
    <row r="45" spans="18:34" ht="15.65" x14ac:dyDescent="0.3">
      <c r="R45" s="5"/>
      <c r="S45" s="16"/>
      <c r="T45" s="16"/>
      <c r="U45" s="16"/>
      <c r="V45" s="16"/>
      <c r="W45" s="16"/>
      <c r="X45" s="22"/>
      <c r="Y45" s="5"/>
      <c r="Z45" s="11"/>
      <c r="AA45" s="11"/>
      <c r="AB45" s="11"/>
      <c r="AC45" s="11"/>
      <c r="AD45" s="5"/>
      <c r="AE45" s="5"/>
      <c r="AF45" s="16"/>
      <c r="AG45" s="16"/>
      <c r="AH45" s="16"/>
    </row>
    <row r="46" spans="18:34" ht="15.65" x14ac:dyDescent="0.3">
      <c r="R46" s="5"/>
      <c r="S46" s="16"/>
      <c r="T46" s="16"/>
      <c r="U46" s="16"/>
      <c r="V46" s="16"/>
      <c r="W46" s="16"/>
      <c r="X46" s="22"/>
      <c r="Y46" s="5"/>
      <c r="Z46" s="11"/>
      <c r="AA46" s="11"/>
      <c r="AB46" s="11"/>
      <c r="AC46" s="11"/>
      <c r="AD46" s="5"/>
      <c r="AE46" s="5"/>
      <c r="AF46" s="16"/>
      <c r="AG46" s="16"/>
      <c r="AH46" s="16"/>
    </row>
    <row r="47" spans="18:34" ht="15.65" x14ac:dyDescent="0.3">
      <c r="R47" s="5"/>
      <c r="S47" s="16"/>
      <c r="T47" s="16"/>
      <c r="U47" s="16"/>
      <c r="V47" s="16"/>
      <c r="W47" s="16"/>
      <c r="X47" s="22"/>
      <c r="Y47" s="5"/>
      <c r="Z47" s="11"/>
      <c r="AA47" s="11"/>
      <c r="AB47" s="11"/>
      <c r="AC47" s="11"/>
      <c r="AD47" s="5"/>
      <c r="AE47" s="5"/>
      <c r="AF47" s="16"/>
      <c r="AG47" s="16"/>
      <c r="AH47" s="16"/>
    </row>
    <row r="48" spans="18:34" ht="15.65" x14ac:dyDescent="0.3">
      <c r="R48" s="5"/>
      <c r="S48" s="16"/>
      <c r="T48" s="16"/>
      <c r="U48" s="16"/>
      <c r="V48" s="16"/>
      <c r="W48" s="16"/>
      <c r="X48" s="22"/>
      <c r="Y48" s="5"/>
      <c r="Z48" s="11"/>
      <c r="AA48" s="11"/>
      <c r="AB48" s="11"/>
      <c r="AC48" s="11"/>
      <c r="AD48" s="5"/>
      <c r="AE48" s="5"/>
      <c r="AF48" s="16"/>
      <c r="AG48" s="16"/>
      <c r="AH48" s="16"/>
    </row>
    <row r="49" spans="18:34" ht="15.65" x14ac:dyDescent="0.3">
      <c r="R49" s="5"/>
      <c r="S49" s="16"/>
      <c r="T49" s="16"/>
      <c r="U49" s="16"/>
      <c r="V49" s="16"/>
      <c r="W49" s="16"/>
      <c r="X49" s="22"/>
      <c r="Y49" s="5"/>
      <c r="Z49" s="11"/>
      <c r="AA49" s="11"/>
      <c r="AB49" s="11"/>
      <c r="AC49" s="11"/>
      <c r="AD49" s="5"/>
      <c r="AE49" s="5"/>
      <c r="AF49" s="16"/>
      <c r="AG49" s="16"/>
      <c r="AH49" s="16"/>
    </row>
    <row r="50" spans="18:34" ht="15.65" x14ac:dyDescent="0.3">
      <c r="R50" s="5"/>
      <c r="S50" s="16"/>
      <c r="T50" s="16"/>
      <c r="U50" s="16"/>
      <c r="V50" s="16"/>
      <c r="W50" s="16"/>
      <c r="X50" s="22"/>
      <c r="Y50" s="5"/>
      <c r="Z50" s="11"/>
      <c r="AA50" s="11"/>
      <c r="AB50" s="11"/>
      <c r="AC50" s="11"/>
      <c r="AD50" s="5"/>
      <c r="AE50" s="5"/>
      <c r="AF50" s="16"/>
      <c r="AG50" s="16"/>
      <c r="AH50" s="16"/>
    </row>
    <row r="51" spans="18:34" ht="15.65" x14ac:dyDescent="0.3">
      <c r="R51" s="5"/>
      <c r="S51" s="16"/>
      <c r="T51" s="16"/>
      <c r="U51" s="16"/>
      <c r="V51" s="16"/>
      <c r="W51" s="16"/>
      <c r="X51" s="22"/>
      <c r="Y51" s="5"/>
      <c r="Z51" s="11"/>
      <c r="AA51" s="11"/>
      <c r="AB51" s="11"/>
      <c r="AC51" s="11"/>
      <c r="AD51" s="5"/>
      <c r="AE51" s="5"/>
      <c r="AF51" s="16"/>
      <c r="AG51" s="16"/>
      <c r="AH51" s="16"/>
    </row>
    <row r="52" spans="18:34" ht="15.65" x14ac:dyDescent="0.3">
      <c r="R52" s="5"/>
      <c r="S52" s="16"/>
      <c r="T52" s="16"/>
      <c r="U52" s="16"/>
      <c r="V52" s="16"/>
      <c r="W52" s="16"/>
      <c r="X52" s="22"/>
      <c r="Y52" s="5"/>
      <c r="Z52" s="11"/>
      <c r="AA52" s="11"/>
      <c r="AB52" s="11"/>
      <c r="AC52" s="11"/>
      <c r="AD52" s="5"/>
      <c r="AE52" s="5"/>
      <c r="AF52" s="16"/>
      <c r="AG52" s="16"/>
      <c r="AH52" s="16"/>
    </row>
    <row r="53" spans="18:34" ht="15.65" x14ac:dyDescent="0.3">
      <c r="R53" s="5"/>
      <c r="S53" s="16"/>
      <c r="T53" s="16"/>
      <c r="U53" s="16"/>
      <c r="V53" s="16"/>
      <c r="W53" s="16"/>
      <c r="X53" s="22"/>
      <c r="Y53" s="5"/>
      <c r="Z53" s="11"/>
      <c r="AA53" s="11"/>
      <c r="AB53" s="11"/>
      <c r="AC53" s="11"/>
      <c r="AD53" s="5"/>
      <c r="AE53" s="5"/>
      <c r="AF53" s="16"/>
      <c r="AG53" s="16"/>
      <c r="AH53" s="16"/>
    </row>
    <row r="54" spans="18:34" ht="15.65" x14ac:dyDescent="0.3">
      <c r="R54" s="5"/>
      <c r="S54" s="16"/>
      <c r="T54" s="16"/>
      <c r="U54" s="16"/>
      <c r="V54" s="16"/>
      <c r="W54" s="16"/>
      <c r="X54" s="22"/>
      <c r="Y54" s="5"/>
      <c r="Z54" s="11"/>
      <c r="AA54" s="11"/>
      <c r="AB54" s="11"/>
      <c r="AC54" s="11"/>
      <c r="AD54" s="5"/>
      <c r="AE54" s="5"/>
      <c r="AF54" s="16"/>
      <c r="AG54" s="16"/>
      <c r="AH54" s="16"/>
    </row>
    <row r="55" spans="18:34" ht="15.65" x14ac:dyDescent="0.3">
      <c r="R55" s="5"/>
      <c r="S55" s="16"/>
      <c r="T55" s="16"/>
      <c r="U55" s="16"/>
      <c r="V55" s="16"/>
      <c r="W55" s="16"/>
      <c r="X55" s="22"/>
      <c r="Y55" s="5"/>
      <c r="Z55" s="11"/>
      <c r="AA55" s="16"/>
      <c r="AB55" s="16"/>
      <c r="AC55" s="16"/>
      <c r="AD55" s="5"/>
      <c r="AE55" s="5"/>
    </row>
  </sheetData>
  <sheetProtection formatCells="0" formatColumns="0" formatRows="0" insertColumns="0" insertRows="0" deleteRows="0" autoFilter="0"/>
  <protectedRanges>
    <protectedRange sqref="AL5:AS17" name="results"/>
    <protectedRange sqref="AA4" name="pool constant"/>
    <protectedRange sqref="T2" name="date"/>
    <protectedRange sqref="V20:V28 U20:U23 U25:U28 T20:T28" name="order info"/>
  </protectedRanges>
  <autoFilter ref="A5:AO28" xr:uid="{00000000-0009-0000-0000-000001000000}"/>
  <mergeCells count="2">
    <mergeCell ref="T2:U2"/>
    <mergeCell ref="U24:V24"/>
  </mergeCells>
  <conditionalFormatting sqref="V4">
    <cfRule type="cellIs" dxfId="44" priority="4" operator="greaterThan">
      <formula>0</formula>
    </cfRule>
  </conditionalFormatting>
  <conditionalFormatting sqref="X31:AB34">
    <cfRule type="expression" dxfId="43" priority="2">
      <formula>$AA$30="no"</formula>
    </cfRule>
  </conditionalFormatting>
  <conditionalFormatting sqref="X35:AB36">
    <cfRule type="expression" dxfId="42" priority="1">
      <formula>#REF!="no"</formula>
    </cfRule>
  </conditionalFormatting>
  <conditionalFormatting sqref="AA6:AA19">
    <cfRule type="cellIs" dxfId="41" priority="27" operator="between">
      <formula>2</formula>
      <formula>$E6/2</formula>
    </cfRule>
    <cfRule type="cellIs" dxfId="40" priority="28" stopIfTrue="1" operator="equal">
      <formula>""</formula>
    </cfRule>
    <cfRule type="expression" dxfId="39" priority="29" stopIfTrue="1">
      <formula>ISTEXT(AA6)</formula>
    </cfRule>
    <cfRule type="cellIs" dxfId="38" priority="30" stopIfTrue="1" operator="greaterThan">
      <formula>$E6</formula>
    </cfRule>
    <cfRule type="cellIs" dxfId="37" priority="31" operator="greaterThan">
      <formula>$E6/2</formula>
    </cfRule>
  </conditionalFormatting>
  <conditionalFormatting sqref="AA55 AC55">
    <cfRule type="cellIs" dxfId="36" priority="43" stopIfTrue="1" operator="greaterThan">
      <formula>#REF!</formula>
    </cfRule>
    <cfRule type="cellIs" dxfId="35" priority="44" operator="greaterThan">
      <formula>#REF!/2</formula>
    </cfRule>
  </conditionalFormatting>
  <conditionalFormatting sqref="AF20:AK20">
    <cfRule type="cellIs" dxfId="34" priority="45" operator="greaterThan">
      <formula>$AJ$2</formula>
    </cfRule>
  </conditionalFormatting>
  <conditionalFormatting sqref="AK6:AK17">
    <cfRule type="cellIs" dxfId="33" priority="5" operator="greaterThan">
      <formula>0</formula>
    </cfRule>
    <cfRule type="cellIs" dxfId="32" priority="6" stopIfTrue="1" operator="greaterThan">
      <formula>2</formula>
    </cfRule>
  </conditionalFormatting>
  <dataValidations disablePrompts="1" count="2">
    <dataValidation type="list" allowBlank="1" showInputMessage="1" showErrorMessage="1" sqref="AK3" xr:uid="{00000000-0002-0000-0100-000000000000}">
      <formula1>"no,yes"</formula1>
    </dataValidation>
    <dataValidation type="list" allowBlank="1" showInputMessage="1" showErrorMessage="1" sqref="AA30" xr:uid="{55666AC6-2F0B-41C5-9AB6-46A24C41918C}">
      <formula1>"yes, no"</formula1>
    </dataValidation>
  </dataValidations>
  <pageMargins left="1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I71"/>
  <sheetViews>
    <sheetView zoomScaleNormal="100" workbookViewId="0">
      <pane xSplit="3" ySplit="5" topLeftCell="P6" activePane="bottomRight" state="frozen"/>
      <selection activeCell="A35" sqref="A35:XFD37"/>
      <selection pane="topRight" activeCell="A35" sqref="A35:XFD37"/>
      <selection pane="bottomLeft" activeCell="A35" sqref="A35:XFD37"/>
      <selection pane="bottomRight" activeCell="AH39" sqref="AH39"/>
    </sheetView>
  </sheetViews>
  <sheetFormatPr defaultColWidth="9.44140625" defaultRowHeight="15.05" x14ac:dyDescent="0.3"/>
  <cols>
    <col min="1" max="2" width="7.5546875" customWidth="1"/>
    <col min="3" max="3" width="4.44140625" style="2" customWidth="1"/>
    <col min="4" max="4" width="6.44140625" customWidth="1"/>
    <col min="5" max="5" width="5.44140625" customWidth="1"/>
    <col min="6" max="6" width="8.44140625" customWidth="1"/>
    <col min="7" max="8" width="7.44140625" customWidth="1"/>
    <col min="9" max="15" width="6.44140625" customWidth="1"/>
    <col min="17" max="17" width="9.44140625" style="11"/>
    <col min="18" max="19" width="8.44140625" customWidth="1"/>
    <col min="20" max="22" width="6.44140625" customWidth="1"/>
    <col min="23" max="23" width="6.44140625" hidden="1" customWidth="1"/>
    <col min="24" max="24" width="15" customWidth="1"/>
    <col min="25" max="25" width="8" customWidth="1"/>
    <col min="26" max="26" width="3" style="71" customWidth="1"/>
    <col min="27" max="27" width="7.44140625" customWidth="1"/>
    <col min="28" max="28" width="10.44140625" customWidth="1"/>
    <col min="29" max="29" width="7.44140625" customWidth="1"/>
    <col min="30" max="31" width="8" customWidth="1"/>
    <col min="32" max="33" width="7.44140625" customWidth="1"/>
    <col min="34" max="34" width="8" style="117" customWidth="1"/>
    <col min="35" max="35" width="8" customWidth="1"/>
  </cols>
  <sheetData>
    <row r="1" spans="1:35" x14ac:dyDescent="0.3">
      <c r="A1" s="7"/>
      <c r="B1" s="7"/>
      <c r="C1" s="106"/>
      <c r="T1" s="7" t="s">
        <v>61</v>
      </c>
      <c r="Z1"/>
    </row>
    <row r="2" spans="1:35" x14ac:dyDescent="0.3">
      <c r="A2" s="67" t="s">
        <v>30</v>
      </c>
      <c r="C2" s="107"/>
      <c r="T2" s="233">
        <f>'Final Pool'!$T$2</f>
        <v>45982</v>
      </c>
      <c r="U2" s="233"/>
      <c r="Z2" s="3">
        <f ca="1">COUNT(Z6:Z39)</f>
        <v>0</v>
      </c>
      <c r="AA2">
        <f ca="1">COUNTIF(AA6:AA39,"&gt;2")</f>
        <v>2</v>
      </c>
      <c r="AH2" s="117" t="s">
        <v>76</v>
      </c>
    </row>
    <row r="3" spans="1:35" x14ac:dyDescent="0.3">
      <c r="A3" s="95"/>
      <c r="B3" s="96"/>
      <c r="C3" s="98"/>
      <c r="D3" s="97" t="s">
        <v>2</v>
      </c>
      <c r="E3" s="96"/>
      <c r="F3" s="96"/>
      <c r="G3" s="96"/>
      <c r="H3" s="96"/>
      <c r="I3" s="96"/>
      <c r="J3" s="96"/>
      <c r="K3" s="96"/>
      <c r="L3" s="96"/>
      <c r="M3" s="96"/>
      <c r="N3" s="96"/>
      <c r="O3" s="116" t="str">
        <f>INPUTS!O3</f>
        <v>Empirical</v>
      </c>
      <c r="P3" s="116" t="str">
        <f>INPUTS!P3</f>
        <v>Use</v>
      </c>
      <c r="Q3" s="140"/>
      <c r="R3" s="96" t="s">
        <v>32</v>
      </c>
      <c r="S3" s="99"/>
      <c r="T3" s="169"/>
      <c r="U3" s="101"/>
      <c r="V3" s="101"/>
      <c r="W3" s="101"/>
      <c r="X3" s="100" t="s">
        <v>33</v>
      </c>
      <c r="Y3" s="96"/>
      <c r="Z3" s="72"/>
      <c r="AA3" s="15" t="s">
        <v>34</v>
      </c>
      <c r="AB3" s="32"/>
      <c r="AC3" s="12"/>
      <c r="AD3" s="4"/>
      <c r="AE3" s="13"/>
      <c r="AF3" s="12"/>
      <c r="AG3" s="12"/>
      <c r="AH3" s="116" t="s">
        <v>77</v>
      </c>
      <c r="AI3" s="122" t="s">
        <v>78</v>
      </c>
    </row>
    <row r="4" spans="1:35" x14ac:dyDescent="0.3">
      <c r="A4" s="9"/>
      <c r="B4" s="7" t="s">
        <v>5</v>
      </c>
      <c r="C4" s="106"/>
      <c r="D4" s="112" t="str">
        <f>INPUTS!D4</f>
        <v>Final</v>
      </c>
      <c r="E4" s="112" t="str">
        <f>INPUTS!E4</f>
        <v>Total</v>
      </c>
      <c r="F4" s="112"/>
      <c r="G4" s="112"/>
      <c r="H4" s="112"/>
      <c r="I4" s="112" t="str">
        <f>INPUTS!I4</f>
        <v>lowMW=primer</v>
      </c>
      <c r="J4" s="112" t="str">
        <f>INPUTS!J4</f>
        <v>AdDimer</v>
      </c>
      <c r="K4" s="112" t="str">
        <f>INPUTS!K4</f>
        <v>Library</v>
      </c>
      <c r="L4" s="112" t="str">
        <f>INPUTS!L4</f>
        <v>Total</v>
      </c>
      <c r="M4" s="112"/>
      <c r="N4" s="112"/>
      <c r="O4" s="117" t="str">
        <f>INPUTS!O4</f>
        <v>Library</v>
      </c>
      <c r="P4" s="117" t="str">
        <f>INPUTS!P4</f>
        <v>Library</v>
      </c>
      <c r="Q4" s="117" t="s">
        <v>79</v>
      </c>
      <c r="R4" s="50">
        <v>0.05</v>
      </c>
      <c r="S4" s="14"/>
      <c r="T4" s="139"/>
      <c r="U4" s="11"/>
      <c r="V4" s="11">
        <f ca="1">COUNTIF(W6:W38,"&gt;1")</f>
        <v>0</v>
      </c>
      <c r="W4" s="11"/>
      <c r="X4" s="18"/>
      <c r="Z4" s="73" t="s">
        <v>37</v>
      </c>
      <c r="AA4" s="82">
        <v>3</v>
      </c>
      <c r="AB4" s="33"/>
      <c r="AE4" s="17"/>
      <c r="AG4" t="s">
        <v>39</v>
      </c>
      <c r="AH4" s="117" t="s">
        <v>80</v>
      </c>
      <c r="AI4" s="123" t="s">
        <v>81</v>
      </c>
    </row>
    <row r="5" spans="1:35" ht="15.65" thickBot="1" x14ac:dyDescent="0.35">
      <c r="A5" s="29" t="s">
        <v>41</v>
      </c>
      <c r="B5" s="30" t="s">
        <v>15</v>
      </c>
      <c r="C5" s="108" t="s">
        <v>42</v>
      </c>
      <c r="D5" s="65" t="str">
        <f>INPUTS!D5</f>
        <v>ng/ul</v>
      </c>
      <c r="E5" s="65" t="str">
        <f>INPUTS!E5</f>
        <v>vol</v>
      </c>
      <c r="F5" s="65" t="str">
        <f>INPUTS!F5</f>
        <v>UDI: Plate_Well</v>
      </c>
      <c r="G5" s="65" t="str">
        <f>INPUTS!G5</f>
        <v>notes</v>
      </c>
      <c r="H5" s="65" t="str">
        <f>INPUTS!H5</f>
        <v>Adj peak size</v>
      </c>
      <c r="I5" s="65" t="str">
        <f>INPUTS!I5</f>
        <v>%ofLib</v>
      </c>
      <c r="J5" s="65" t="str">
        <f>INPUTS!J5</f>
        <v>nM</v>
      </c>
      <c r="K5" s="65" t="str">
        <f>INPUTS!K5</f>
        <v>nM</v>
      </c>
      <c r="L5" s="65" t="str">
        <f>INPUTS!L5</f>
        <v>nM</v>
      </c>
      <c r="M5" s="65" t="str">
        <f>INPUTS!M5</f>
        <v>final#</v>
      </c>
      <c r="N5" s="65" t="str">
        <f>INPUTS!N5</f>
        <v>storage</v>
      </c>
      <c r="O5" s="23" t="str">
        <f>INPUTS!O5</f>
        <v>nM</v>
      </c>
      <c r="P5" s="23" t="str">
        <f>INPUTS!P5</f>
        <v>nM</v>
      </c>
      <c r="Q5" s="23" t="str">
        <f>INPUTS!Q5</f>
        <v>Reads (M)</v>
      </c>
      <c r="R5" s="25" t="s">
        <v>43</v>
      </c>
      <c r="S5" s="26" t="s">
        <v>44</v>
      </c>
      <c r="T5" s="24" t="s">
        <v>14</v>
      </c>
      <c r="U5" s="25" t="s">
        <v>45</v>
      </c>
      <c r="V5" s="25" t="s">
        <v>46</v>
      </c>
      <c r="W5" s="25"/>
      <c r="X5" s="31" t="s">
        <v>47</v>
      </c>
      <c r="Y5" s="65" t="s">
        <v>48</v>
      </c>
      <c r="Z5" s="74"/>
      <c r="AA5" s="24" t="s">
        <v>18</v>
      </c>
      <c r="AB5" s="26"/>
      <c r="AC5" s="27" t="s">
        <v>49</v>
      </c>
      <c r="AD5" s="25" t="s">
        <v>50</v>
      </c>
      <c r="AE5" s="26" t="s">
        <v>51</v>
      </c>
      <c r="AF5" s="27" t="s">
        <v>52</v>
      </c>
      <c r="AG5" s="27" t="s">
        <v>53</v>
      </c>
      <c r="AH5" s="23" t="s">
        <v>82</v>
      </c>
      <c r="AI5" s="124" t="s">
        <v>63</v>
      </c>
    </row>
    <row r="6" spans="1:35" ht="15.65" x14ac:dyDescent="0.3">
      <c r="A6" s="36" t="str">
        <f>IF(INPUTS!A6=0,"none",INPUTS!A6)</f>
        <v>7050I</v>
      </c>
      <c r="B6" s="36" t="str">
        <f>IF(INPUTS!B6=0,"none",INPUTS!B6)</f>
        <v>EF19</v>
      </c>
      <c r="C6" s="109">
        <f>IF(B6="none",0,MATCH(B6,INPUTS!$B$6:$B$69,0))</f>
        <v>1</v>
      </c>
      <c r="D6" s="94">
        <f ca="1">IF($C6=0,"",OFFSET(INPUTS!D$5,$C6,0))</f>
        <v>1.7766</v>
      </c>
      <c r="E6" s="94">
        <f ca="1">IF($C6=0,"",OFFSET(INPUTS!E$5,$C6,0))</f>
        <v>20</v>
      </c>
      <c r="F6" s="115" t="str">
        <f ca="1">IF($C6=0,"",OFFSET(INPUTS!F$5,$C6,0))</f>
        <v>P4_A05</v>
      </c>
      <c r="G6" s="115">
        <f ca="1">IF($C6=0,"",OFFSET(INPUTS!G$5,$C6,0))</f>
        <v>0</v>
      </c>
      <c r="H6" s="94">
        <f ca="1">IF($C6=0,"",OFFSET(INPUTS!H$5,$C6,0))</f>
        <v>198</v>
      </c>
      <c r="I6" s="94">
        <f ca="1">IF($C6=0,"",OFFSET(INPUTS!I$5,$C6,0))</f>
        <v>0</v>
      </c>
      <c r="J6" s="94">
        <f ca="1">IF($C6=0,"",OFFSET(INPUTS!J$5,$C6,0))</f>
        <v>0</v>
      </c>
      <c r="K6" s="114">
        <f ca="1">IF($C6=0,"",OFFSET(INPUTS!K$5,$C6,0))</f>
        <v>13.595041322314049</v>
      </c>
      <c r="L6" s="114">
        <f ca="1">IF($C6=0,"",OFFSET(INPUTS!L$5,$C6,0))</f>
        <v>13.595041322314049</v>
      </c>
      <c r="M6" s="94">
        <f ca="1">IF($C6=0,"",OFFSET(INPUTS!M$5,$C6,0))</f>
        <v>0</v>
      </c>
      <c r="N6" s="94">
        <f ca="1">IF($C6=0,"",OFFSET(INPUTS!N$5,$C6,0))</f>
        <v>0</v>
      </c>
      <c r="O6" s="94" t="str">
        <f ca="1">IF($C6=0,"",OFFSET(INPUTS!O$5,$C6,0))</f>
        <v>nd</v>
      </c>
      <c r="P6" s="114">
        <f ca="1">IF($C6=0,"",OFFSET(INPUTS!P$5,$C6,0))</f>
        <v>13.595041322314049</v>
      </c>
      <c r="Q6" s="141">
        <f ca="1">IF($C6=0,"",OFFSET(INPUTS!Q$5,$C6,0))</f>
        <v>100</v>
      </c>
      <c r="R6" s="37">
        <f ca="1">IF($C6=0,"",$P6-($J6*R$4))</f>
        <v>13.595041322314049</v>
      </c>
      <c r="S6" s="38">
        <f ca="1">SUM(J6,R6)</f>
        <v>13.595041322314049</v>
      </c>
      <c r="T6" s="128" t="str">
        <f t="shared" ref="T6:T7" si="0">IF(A6=0,"",A6)</f>
        <v>7050I</v>
      </c>
      <c r="U6" s="127" t="str">
        <f t="shared" ref="U6:U7" ca="1" si="1">IF(M6=0,"",M6)</f>
        <v/>
      </c>
      <c r="V6" s="151" t="str">
        <f ca="1">IF(F6=0,"",F6&amp;IF(OR(G6="",G6=0),"","+"&amp;G6))</f>
        <v>P4_A05</v>
      </c>
      <c r="W6" s="130" t="str">
        <f t="shared" ref="W6:W34" ca="1" si="2">IF(ISNUMBER(V6),COUNTIF($V$6:$V$38,V6),"")</f>
        <v/>
      </c>
      <c r="X6" s="39" t="str">
        <f t="shared" ref="X6:X38" si="3">$B6</f>
        <v>EF19</v>
      </c>
      <c r="Y6" s="35" t="str">
        <f ca="1">IF(N6=0,"",N6)</f>
        <v/>
      </c>
      <c r="Z6" s="75" t="str">
        <f t="shared" ref="Z6:Z7" si="4">IF($AH6=0,"",IF($R6="","",IF(AF6&lt;0.2,10,IF(AF6&lt;0.795,5,""))))</f>
        <v/>
      </c>
      <c r="AA6" s="152" t="str">
        <f t="shared" ref="AA6:AA7" si="5">IF($AH6=0,"",IF($R6="","",AF6*IF($Z6="",1,$Z6)))</f>
        <v/>
      </c>
      <c r="AB6" s="171" t="str">
        <f t="shared" ref="AB6:AB34" si="6">IF(ISNUMBER(AA6),RANK(AA6,$AA$6:$AA$38,0),"")</f>
        <v/>
      </c>
      <c r="AC6" s="41" t="str">
        <f t="shared" ref="AC6:AC7" si="7">IF($AH6=0,"",IF($R6="","",R6*$AA6/IF($Z6="",1,$Z6)))</f>
        <v/>
      </c>
      <c r="AD6" s="35" t="str">
        <f t="shared" ref="AD6:AD7" si="8">IF($AH6=0,"",IF($R6="","",S6*$AA6/IF($Z6="",1,$Z6)))</f>
        <v/>
      </c>
      <c r="AE6" s="42" t="str">
        <f t="shared" ref="AE6:AE7" si="9">IF($AH6=0,"",IF($R6="","",D6*$AA6/IF($Z6="",1,$Z6)))</f>
        <v/>
      </c>
      <c r="AF6" s="146">
        <f ca="1">IF(R6="","",$AA$4/R6*Q6)</f>
        <v>22.066869300911854</v>
      </c>
      <c r="AG6" s="35" t="str">
        <f>IF($AH6=0,"",Q6)</f>
        <v/>
      </c>
      <c r="AH6" s="118">
        <v>0</v>
      </c>
      <c r="AI6" s="125">
        <f>IF(C$6=0,0,SUMIF('Prepool 2'!$X$5:$X$38,X6,'Prepool 2'!$AH$5:$AH$38)*2)</f>
        <v>2</v>
      </c>
    </row>
    <row r="7" spans="1:35" ht="15.65" x14ac:dyDescent="0.3">
      <c r="A7" s="36" t="str">
        <f>IF(INPUTS!A7=0,"none",INPUTS!A7)</f>
        <v>7050I</v>
      </c>
      <c r="B7" s="36" t="str">
        <f>IF(INPUTS!B7=0,"none",INPUTS!B7)</f>
        <v>EF20</v>
      </c>
      <c r="C7" s="109">
        <f>IF(B7="none",0,MATCH(B7,INPUTS!$B$6:$B$69,0))</f>
        <v>2</v>
      </c>
      <c r="D7" s="94">
        <f ca="1">IF($C7=0,"",OFFSET(INPUTS!D$5,$C7,0))</f>
        <v>1.7037200000000001</v>
      </c>
      <c r="E7" s="94">
        <f ca="1">IF($C7=0,"",OFFSET(INPUTS!E$5,$C7,0))</f>
        <v>20</v>
      </c>
      <c r="F7" s="115" t="str">
        <f ca="1">IF($C7=0,"",OFFSET(INPUTS!F$5,$C7,0))</f>
        <v>P4_B05</v>
      </c>
      <c r="G7" s="115">
        <f ca="1">IF($C7=0,"",OFFSET(INPUTS!G$5,$C7,0))</f>
        <v>0</v>
      </c>
      <c r="H7" s="94">
        <f ca="1">IF($C7=0,"",OFFSET(INPUTS!H$5,$C7,0))</f>
        <v>198</v>
      </c>
      <c r="I7" s="94">
        <f ca="1">IF($C7=0,"",OFFSET(INPUTS!I$5,$C7,0))</f>
        <v>0</v>
      </c>
      <c r="J7" s="94">
        <f ca="1">IF($C7=0,"",OFFSET(INPUTS!J$5,$C7,0))</f>
        <v>0</v>
      </c>
      <c r="K7" s="114">
        <f ca="1">IF($C7=0,"",OFFSET(INPUTS!K$5,$C7,0))</f>
        <v>13.037343128252221</v>
      </c>
      <c r="L7" s="114">
        <f ca="1">IF($C7=0,"",OFFSET(INPUTS!L$5,$C7,0))</f>
        <v>13.037343128252221</v>
      </c>
      <c r="M7" s="94">
        <f ca="1">IF($C7=0,"",OFFSET(INPUTS!M$5,$C7,0))</f>
        <v>0</v>
      </c>
      <c r="N7" s="94">
        <f ca="1">IF($C7=0,"",OFFSET(INPUTS!N$5,$C7,0))</f>
        <v>0</v>
      </c>
      <c r="O7" s="94" t="str">
        <f ca="1">IF($C7=0,"",OFFSET(INPUTS!O$5,$C7,0))</f>
        <v>nd</v>
      </c>
      <c r="P7" s="114">
        <f ca="1">IF($C7=0,"",OFFSET(INPUTS!P$5,$C7,0))</f>
        <v>13.037343128252221</v>
      </c>
      <c r="Q7" s="141">
        <f ca="1">IF($C7=0,"",OFFSET(INPUTS!Q$5,$C7,0))</f>
        <v>10</v>
      </c>
      <c r="R7" s="37">
        <f t="shared" ref="R7:R38" ca="1" si="10">IF($C7=0,"",$P7-($J7*R$4))</f>
        <v>13.037343128252221</v>
      </c>
      <c r="S7" s="38">
        <f t="shared" ref="S7" ca="1" si="11">SUM(J7,R7)</f>
        <v>13.037343128252221</v>
      </c>
      <c r="T7" s="129" t="str">
        <f t="shared" si="0"/>
        <v>7050I</v>
      </c>
      <c r="U7" s="126" t="str">
        <f t="shared" ca="1" si="1"/>
        <v/>
      </c>
      <c r="V7" s="151" t="str">
        <f t="shared" ref="V7:V30" ca="1" si="12">IF(F7=0,"",F7&amp;IF(OR(G7="",G7=0),"","+"&amp;G7))</f>
        <v>P4_B05</v>
      </c>
      <c r="W7" s="131" t="str">
        <f t="shared" ca="1" si="2"/>
        <v/>
      </c>
      <c r="X7" s="39" t="str">
        <f t="shared" si="3"/>
        <v>EF20</v>
      </c>
      <c r="Y7" s="35" t="str">
        <f t="shared" ref="Y7" ca="1" si="13">IF(N7=0,"",N7)</f>
        <v/>
      </c>
      <c r="Z7" s="75" t="str">
        <f t="shared" ca="1" si="4"/>
        <v/>
      </c>
      <c r="AA7" s="40">
        <f t="shared" ca="1" si="5"/>
        <v>2.3010823374732934</v>
      </c>
      <c r="AB7" s="171">
        <f t="shared" ca="1" si="6"/>
        <v>1</v>
      </c>
      <c r="AC7" s="41">
        <f t="shared" ca="1" si="7"/>
        <v>30</v>
      </c>
      <c r="AD7" s="35">
        <f t="shared" ca="1" si="8"/>
        <v>30</v>
      </c>
      <c r="AE7" s="42">
        <f t="shared" ca="1" si="9"/>
        <v>3.9203999999999999</v>
      </c>
      <c r="AF7" s="146">
        <f t="shared" ref="AF7" ca="1" si="14">IF(R7="","",$AA$4/R7*Q7)</f>
        <v>2.3010823374732934</v>
      </c>
      <c r="AG7" s="35">
        <f t="shared" ref="AG7" ca="1" si="15">IF($AH7=0,"",Q7)</f>
        <v>10</v>
      </c>
      <c r="AH7" s="118">
        <v>1</v>
      </c>
      <c r="AI7" s="125">
        <f>IF(C$6=0,0,SUMIF('Prepool 2'!$X$5:$X$38,X7,'Prepool 2'!$AH$5:$AH$38)*2)</f>
        <v>0</v>
      </c>
    </row>
    <row r="8" spans="1:35" ht="15.65" x14ac:dyDescent="0.3">
      <c r="A8" s="36" t="str">
        <f>IF(INPUTS!A8=0,"none",INPUTS!A8)</f>
        <v>7050I</v>
      </c>
      <c r="B8" s="36" t="str">
        <f>IF(INPUTS!B8=0,"none",INPUTS!B8)</f>
        <v>EF21</v>
      </c>
      <c r="C8" s="109">
        <f>IF(B8="none",0,MATCH(B8,INPUTS!$B$6:$B$69,0))</f>
        <v>3</v>
      </c>
      <c r="D8" s="94">
        <f ca="1">IF($C8=0,"",OFFSET(INPUTS!D$5,$C8,0))</f>
        <v>1.61175</v>
      </c>
      <c r="E8" s="94">
        <f ca="1">IF($C8=0,"",OFFSET(INPUTS!E$5,$C8,0))</f>
        <v>20</v>
      </c>
      <c r="F8" s="115" t="str">
        <f ca="1">IF($C8=0,"",OFFSET(INPUTS!F$5,$C8,0))</f>
        <v>P4_C05</v>
      </c>
      <c r="G8" s="115">
        <f ca="1">IF($C8=0,"",OFFSET(INPUTS!G$5,$C8,0))</f>
        <v>0</v>
      </c>
      <c r="H8" s="94">
        <f ca="1">IF($C8=0,"",OFFSET(INPUTS!H$5,$C8,0))</f>
        <v>198</v>
      </c>
      <c r="I8" s="94">
        <f ca="1">IF($C8=0,"",OFFSET(INPUTS!I$5,$C8,0))</f>
        <v>0</v>
      </c>
      <c r="J8" s="94">
        <f ca="1">IF($C8=0,"",OFFSET(INPUTS!J$5,$C8,0))</f>
        <v>0</v>
      </c>
      <c r="K8" s="114">
        <f ca="1">IF($C8=0,"",OFFSET(INPUTS!K$5,$C8,0))</f>
        <v>12.33356290174472</v>
      </c>
      <c r="L8" s="114">
        <f ca="1">IF($C8=0,"",OFFSET(INPUTS!L$5,$C8,0))</f>
        <v>12.33356290174472</v>
      </c>
      <c r="M8" s="94">
        <f ca="1">IF($C8=0,"",OFFSET(INPUTS!M$5,$C8,0))</f>
        <v>0</v>
      </c>
      <c r="N8" s="94">
        <f ca="1">IF($C8=0,"",OFFSET(INPUTS!N$5,$C8,0))</f>
        <v>0</v>
      </c>
      <c r="O8" s="94" t="str">
        <f ca="1">IF($C8=0,"",OFFSET(INPUTS!O$5,$C8,0))</f>
        <v>nd</v>
      </c>
      <c r="P8" s="114">
        <f ca="1">IF($C8=0,"",OFFSET(INPUTS!P$5,$C8,0))</f>
        <v>12.33356290174472</v>
      </c>
      <c r="Q8" s="141">
        <f ca="1">IF($C8=0,"",OFFSET(INPUTS!Q$5,$C8,0))</f>
        <v>100</v>
      </c>
      <c r="R8" s="37">
        <f t="shared" ca="1" si="10"/>
        <v>12.33356290174472</v>
      </c>
      <c r="S8" s="38">
        <f t="shared" ref="S8:S9" ca="1" si="16">SUM(J8,R8)</f>
        <v>12.33356290174472</v>
      </c>
      <c r="T8" s="129" t="str">
        <f t="shared" ref="T8:T9" si="17">IF(A8=0,"",A8)</f>
        <v>7050I</v>
      </c>
      <c r="U8" s="126" t="str">
        <f t="shared" ref="U8:U9" ca="1" si="18">IF(M8=0,"",M8)</f>
        <v/>
      </c>
      <c r="V8" s="151" t="str">
        <f t="shared" ca="1" si="12"/>
        <v>P4_C05</v>
      </c>
      <c r="W8" s="131" t="str">
        <f t="shared" ca="1" si="2"/>
        <v/>
      </c>
      <c r="X8" s="39" t="str">
        <f t="shared" si="3"/>
        <v>EF21</v>
      </c>
      <c r="Y8" s="35" t="str">
        <f t="shared" ref="Y8:Y9" ca="1" si="19">IF(N8=0,"",N8)</f>
        <v/>
      </c>
      <c r="Z8" s="75" t="str">
        <f t="shared" ref="Z8:Z9" si="20">IF($AH8=0,"",IF($R8="","",IF(AF8&lt;0.2,10,IF(AF8&lt;0.795,5,""))))</f>
        <v/>
      </c>
      <c r="AA8" s="40" t="str">
        <f t="shared" ref="AA8:AA9" si="21">IF($AH8=0,"",IF($R8="","",AF8*IF($Z8="",1,$Z8)))</f>
        <v/>
      </c>
      <c r="AB8" s="171" t="str">
        <f t="shared" si="6"/>
        <v/>
      </c>
      <c r="AC8" s="41" t="str">
        <f t="shared" ref="AC8:AC9" si="22">IF($AH8=0,"",IF($R8="","",R8*$AA8/IF($Z8="",1,$Z8)))</f>
        <v/>
      </c>
      <c r="AD8" s="35" t="str">
        <f t="shared" ref="AD8:AD9" si="23">IF($AH8=0,"",IF($R8="","",S8*$AA8/IF($Z8="",1,$Z8)))</f>
        <v/>
      </c>
      <c r="AE8" s="42" t="str">
        <f t="shared" ref="AE8:AE9" si="24">IF($AH8=0,"",IF($R8="","",D8*$AA8/IF($Z8="",1,$Z8)))</f>
        <v/>
      </c>
      <c r="AF8" s="146">
        <f t="shared" ref="AF8:AF9" ca="1" si="25">IF(R8="","",$AA$4/R8*Q8)</f>
        <v>24.323871568171242</v>
      </c>
      <c r="AG8" s="35" t="str">
        <f t="shared" ref="AG8:AG9" si="26">IF($AH8=0,"",Q8)</f>
        <v/>
      </c>
      <c r="AH8" s="118">
        <v>0</v>
      </c>
      <c r="AI8" s="125">
        <f>IF(C$6=0,0,SUMIF('Prepool 2'!$X$5:$X$38,X8,'Prepool 2'!$AH$5:$AH$38)*2)</f>
        <v>2</v>
      </c>
    </row>
    <row r="9" spans="1:35" ht="15.65" x14ac:dyDescent="0.3">
      <c r="A9" s="36" t="str">
        <f>IF(INPUTS!A9=0,"none",INPUTS!A9)</f>
        <v>7050I</v>
      </c>
      <c r="B9" s="36" t="str">
        <f>IF(INPUTS!B9=0,"none",INPUTS!B9)</f>
        <v>EF22</v>
      </c>
      <c r="C9" s="109">
        <f>IF(B9="none",0,MATCH(B9,INPUTS!$B$6:$B$69,0))</f>
        <v>4</v>
      </c>
      <c r="D9" s="94">
        <f ca="1">IF($C9=0,"",OFFSET(INPUTS!D$5,$C9,0))</f>
        <v>2.2723200000000001</v>
      </c>
      <c r="E9" s="94">
        <f ca="1">IF($C9=0,"",OFFSET(INPUTS!E$5,$C9,0))</f>
        <v>20</v>
      </c>
      <c r="F9" s="115" t="str">
        <f ca="1">IF($C9=0,"",OFFSET(INPUTS!F$5,$C9,0))</f>
        <v>P4_D05</v>
      </c>
      <c r="G9" s="115">
        <f ca="1">IF($C9=0,"",OFFSET(INPUTS!G$5,$C9,0))</f>
        <v>0</v>
      </c>
      <c r="H9" s="94">
        <f ca="1">IF($C9=0,"",OFFSET(INPUTS!H$5,$C9,0))</f>
        <v>196</v>
      </c>
      <c r="I9" s="94">
        <f ca="1">IF($C9=0,"",OFFSET(INPUTS!I$5,$C9,0))</f>
        <v>0</v>
      </c>
      <c r="J9" s="94">
        <f ca="1">IF($C9=0,"",OFFSET(INPUTS!J$5,$C9,0))</f>
        <v>0</v>
      </c>
      <c r="K9" s="114">
        <f ca="1">IF($C9=0,"",OFFSET(INPUTS!K$5,$C9,0))</f>
        <v>17.565862708719852</v>
      </c>
      <c r="L9" s="114">
        <f ca="1">IF($C9=0,"",OFFSET(INPUTS!L$5,$C9,0))</f>
        <v>17.565862708719852</v>
      </c>
      <c r="M9" s="94">
        <f ca="1">IF($C9=0,"",OFFSET(INPUTS!M$5,$C9,0))</f>
        <v>0</v>
      </c>
      <c r="N9" s="94">
        <f ca="1">IF($C9=0,"",OFFSET(INPUTS!N$5,$C9,0))</f>
        <v>0</v>
      </c>
      <c r="O9" s="94" t="str">
        <f ca="1">IF($C9=0,"",OFFSET(INPUTS!O$5,$C9,0))</f>
        <v>nd</v>
      </c>
      <c r="P9" s="114">
        <f ca="1">IF($C9=0,"",OFFSET(INPUTS!P$5,$C9,0))</f>
        <v>17.565862708719852</v>
      </c>
      <c r="Q9" s="141">
        <f ca="1">IF($C9=0,"",OFFSET(INPUTS!Q$5,$C9,0))</f>
        <v>10</v>
      </c>
      <c r="R9" s="37">
        <f t="shared" ca="1" si="10"/>
        <v>17.565862708719852</v>
      </c>
      <c r="S9" s="38">
        <f t="shared" ca="1" si="16"/>
        <v>17.565862708719852</v>
      </c>
      <c r="T9" s="129" t="str">
        <f t="shared" si="17"/>
        <v>7050I</v>
      </c>
      <c r="U9" s="126" t="str">
        <f t="shared" ca="1" si="18"/>
        <v/>
      </c>
      <c r="V9" s="151" t="str">
        <f t="shared" ca="1" si="12"/>
        <v>P4_D05</v>
      </c>
      <c r="W9" s="131" t="str">
        <f t="shared" ca="1" si="2"/>
        <v/>
      </c>
      <c r="X9" s="39" t="str">
        <f t="shared" si="3"/>
        <v>EF22</v>
      </c>
      <c r="Y9" s="35" t="str">
        <f t="shared" ca="1" si="19"/>
        <v/>
      </c>
      <c r="Z9" s="75" t="str">
        <f t="shared" ca="1" si="20"/>
        <v/>
      </c>
      <c r="AA9" s="40">
        <f t="shared" ca="1" si="21"/>
        <v>1.7078580481622307</v>
      </c>
      <c r="AB9" s="171">
        <f t="shared" ca="1" si="6"/>
        <v>2</v>
      </c>
      <c r="AC9" s="41">
        <f t="shared" ca="1" si="22"/>
        <v>30</v>
      </c>
      <c r="AD9" s="35">
        <f t="shared" ca="1" si="23"/>
        <v>30</v>
      </c>
      <c r="AE9" s="42">
        <f t="shared" ca="1" si="24"/>
        <v>3.8808000000000002</v>
      </c>
      <c r="AF9" s="146">
        <f t="shared" ca="1" si="25"/>
        <v>1.7078580481622307</v>
      </c>
      <c r="AG9" s="35">
        <f t="shared" ca="1" si="26"/>
        <v>10</v>
      </c>
      <c r="AH9" s="118">
        <v>1</v>
      </c>
      <c r="AI9" s="125">
        <f>IF(C$6=0,0,SUMIF('Prepool 2'!$X$5:$X$38,X9,'Prepool 2'!$AH$5:$AH$38)*2)</f>
        <v>0</v>
      </c>
    </row>
    <row r="10" spans="1:35" ht="15.65" x14ac:dyDescent="0.3">
      <c r="A10" s="36" t="str">
        <f>IF(INPUTS!A10=0,"none",INPUTS!A10)</f>
        <v>7050I</v>
      </c>
      <c r="B10" s="36" t="str">
        <f>IF(INPUTS!B10=0,"none",INPUTS!B10)</f>
        <v>EF23</v>
      </c>
      <c r="C10" s="109">
        <f>IF(B10="none",0,MATCH(B10,INPUTS!$B$6:$B$69,0))</f>
        <v>5</v>
      </c>
      <c r="D10" s="94">
        <f ca="1">IF($C10=0,"",OFFSET(INPUTS!D$5,$C10,0))</f>
        <v>2.4557500000000001</v>
      </c>
      <c r="E10" s="94">
        <f ca="1">IF($C10=0,"",OFFSET(INPUTS!E$5,$C10,0))</f>
        <v>20</v>
      </c>
      <c r="F10" s="115" t="str">
        <f ca="1">IF($C10=0,"",OFFSET(INPUTS!F$5,$C10,0))</f>
        <v>P4_E05</v>
      </c>
      <c r="G10" s="115">
        <f ca="1">IF($C10=0,"",OFFSET(INPUTS!G$5,$C10,0))</f>
        <v>0</v>
      </c>
      <c r="H10" s="94">
        <f ca="1">IF($C10=0,"",OFFSET(INPUTS!H$5,$C10,0))</f>
        <v>198</v>
      </c>
      <c r="I10" s="94">
        <f ca="1">IF($C10=0,"",OFFSET(INPUTS!I$5,$C10,0))</f>
        <v>0</v>
      </c>
      <c r="J10" s="94">
        <f ca="1">IF($C10=0,"",OFFSET(INPUTS!J$5,$C10,0))</f>
        <v>0</v>
      </c>
      <c r="K10" s="114">
        <f ca="1">IF($C10=0,"",OFFSET(INPUTS!K$5,$C10,0))</f>
        <v>18.792087542087543</v>
      </c>
      <c r="L10" s="114">
        <f ca="1">IF($C10=0,"",OFFSET(INPUTS!L$5,$C10,0))</f>
        <v>18.792087542087543</v>
      </c>
      <c r="M10" s="94">
        <f ca="1">IF($C10=0,"",OFFSET(INPUTS!M$5,$C10,0))</f>
        <v>0</v>
      </c>
      <c r="N10" s="94">
        <f ca="1">IF($C10=0,"",OFFSET(INPUTS!N$5,$C10,0))</f>
        <v>0</v>
      </c>
      <c r="O10" s="94" t="str">
        <f ca="1">IF($C10=0,"",OFFSET(INPUTS!O$5,$C10,0))</f>
        <v>nd</v>
      </c>
      <c r="P10" s="114">
        <f ca="1">IF($C10=0,"",OFFSET(INPUTS!P$5,$C10,0))</f>
        <v>18.792087542087543</v>
      </c>
      <c r="Q10" s="141">
        <f ca="1">IF($C10=0,"",OFFSET(INPUTS!Q$5,$C10,0))</f>
        <v>100</v>
      </c>
      <c r="R10" s="37">
        <f t="shared" ca="1" si="10"/>
        <v>18.792087542087543</v>
      </c>
      <c r="S10" s="38">
        <f t="shared" ref="S10:S30" ca="1" si="27">SUM(J10,R10)</f>
        <v>18.792087542087543</v>
      </c>
      <c r="T10" s="129" t="str">
        <f t="shared" ref="T10:T30" si="28">IF(A10=0,"",A10)</f>
        <v>7050I</v>
      </c>
      <c r="U10" s="126" t="str">
        <f t="shared" ref="U10:U30" ca="1" si="29">IF(M10=0,"",M10)</f>
        <v/>
      </c>
      <c r="V10" s="151" t="str">
        <f t="shared" ca="1" si="12"/>
        <v>P4_E05</v>
      </c>
      <c r="W10" s="131" t="str">
        <f t="shared" ca="1" si="2"/>
        <v/>
      </c>
      <c r="X10" s="39" t="str">
        <f t="shared" si="3"/>
        <v>EF23</v>
      </c>
      <c r="Y10" s="35" t="str">
        <f t="shared" ref="Y10:Y30" ca="1" si="30">IF(N10=0,"",N10)</f>
        <v/>
      </c>
      <c r="Z10" s="75" t="str">
        <f t="shared" ref="Z10:Z30" si="31">IF($AH10=0,"",IF($R10="","",IF(AF10&lt;0.2,10,IF(AF10&lt;0.795,5,""))))</f>
        <v/>
      </c>
      <c r="AA10" s="40" t="str">
        <f t="shared" ref="AA10:AA30" si="32">IF($AH10=0,"",IF($R10="","",AF10*IF($Z10="",1,$Z10)))</f>
        <v/>
      </c>
      <c r="AB10" s="171" t="str">
        <f t="shared" si="6"/>
        <v/>
      </c>
      <c r="AC10" s="41" t="str">
        <f t="shared" ref="AC10:AC30" si="33">IF($AH10=0,"",IF($R10="","",R10*$AA10/IF($Z10="",1,$Z10)))</f>
        <v/>
      </c>
      <c r="AD10" s="35" t="str">
        <f t="shared" ref="AD10:AD30" si="34">IF($AH10=0,"",IF($R10="","",S10*$AA10/IF($Z10="",1,$Z10)))</f>
        <v/>
      </c>
      <c r="AE10" s="42" t="str">
        <f t="shared" ref="AE10:AE30" si="35">IF($AH10=0,"",IF($R10="","",D10*$AA10/IF($Z10="",1,$Z10)))</f>
        <v/>
      </c>
      <c r="AF10" s="146">
        <f t="shared" ref="AF10:AF30" ca="1" si="36">IF(R10="","",$AA$4/R10*Q10)</f>
        <v>15.964165733482641</v>
      </c>
      <c r="AG10" s="35" t="str">
        <f t="shared" ref="AG10:AG30" si="37">IF($AH10=0,"",Q10)</f>
        <v/>
      </c>
      <c r="AH10" s="118">
        <v>0</v>
      </c>
      <c r="AI10" s="125">
        <f>IF(C$6=0,0,SUMIF('Prepool 2'!$X$5:$X$38,X10,'Prepool 2'!$AH$5:$AH$38)*2)</f>
        <v>2</v>
      </c>
    </row>
    <row r="11" spans="1:35" ht="15.65" x14ac:dyDescent="0.3">
      <c r="A11" s="36" t="str">
        <f>IF(INPUTS!A11=0,"none",INPUTS!A11)</f>
        <v>7050I</v>
      </c>
      <c r="B11" s="36" t="str">
        <f>IF(INPUTS!B11=0,"none",INPUTS!B11)</f>
        <v>EF24</v>
      </c>
      <c r="C11" s="109">
        <f>IF(B11="none",0,MATCH(B11,INPUTS!$B$6:$B$69,0))</f>
        <v>6</v>
      </c>
      <c r="D11" s="94">
        <f ca="1">IF($C11=0,"",OFFSET(INPUTS!D$5,$C11,0))</f>
        <v>2.3963200000000002</v>
      </c>
      <c r="E11" s="94">
        <f ca="1">IF($C11=0,"",OFFSET(INPUTS!E$5,$C11,0))</f>
        <v>20</v>
      </c>
      <c r="F11" s="115" t="str">
        <f ca="1">IF($C11=0,"",OFFSET(INPUTS!F$5,$C11,0))</f>
        <v>P4_F05</v>
      </c>
      <c r="G11" s="115">
        <f ca="1">IF($C11=0,"",OFFSET(INPUTS!G$5,$C11,0))</f>
        <v>0</v>
      </c>
      <c r="H11" s="94">
        <f ca="1">IF($C11=0,"",OFFSET(INPUTS!H$5,$C11,0))</f>
        <v>198</v>
      </c>
      <c r="I11" s="94">
        <f ca="1">IF($C11=0,"",OFFSET(INPUTS!I$5,$C11,0))</f>
        <v>0</v>
      </c>
      <c r="J11" s="94">
        <f ca="1">IF($C11=0,"",OFFSET(INPUTS!J$5,$C11,0))</f>
        <v>0</v>
      </c>
      <c r="K11" s="114">
        <f ca="1">IF($C11=0,"",OFFSET(INPUTS!K$5,$C11,0))</f>
        <v>18.337312519130702</v>
      </c>
      <c r="L11" s="114">
        <f ca="1">IF($C11=0,"",OFFSET(INPUTS!L$5,$C11,0))</f>
        <v>18.337312519130702</v>
      </c>
      <c r="M11" s="94">
        <f ca="1">IF($C11=0,"",OFFSET(INPUTS!M$5,$C11,0))</f>
        <v>0</v>
      </c>
      <c r="N11" s="94">
        <f ca="1">IF($C11=0,"",OFFSET(INPUTS!N$5,$C11,0))</f>
        <v>0</v>
      </c>
      <c r="O11" s="94" t="str">
        <f ca="1">IF($C11=0,"",OFFSET(INPUTS!O$5,$C11,0))</f>
        <v>nd</v>
      </c>
      <c r="P11" s="114">
        <f ca="1">IF($C11=0,"",OFFSET(INPUTS!P$5,$C11,0))</f>
        <v>18.337312519130702</v>
      </c>
      <c r="Q11" s="141">
        <f ca="1">IF($C11=0,"",OFFSET(INPUTS!Q$5,$C11,0))</f>
        <v>10</v>
      </c>
      <c r="R11" s="37">
        <f t="shared" ca="1" si="10"/>
        <v>18.337312519130702</v>
      </c>
      <c r="S11" s="38">
        <f t="shared" ca="1" si="27"/>
        <v>18.337312519130702</v>
      </c>
      <c r="T11" s="129" t="str">
        <f t="shared" si="28"/>
        <v>7050I</v>
      </c>
      <c r="U11" s="126" t="str">
        <f t="shared" ca="1" si="29"/>
        <v/>
      </c>
      <c r="V11" s="151" t="str">
        <f t="shared" ca="1" si="12"/>
        <v>P4_F05</v>
      </c>
      <c r="W11" s="131" t="str">
        <f t="shared" ca="1" si="2"/>
        <v/>
      </c>
      <c r="X11" s="39" t="str">
        <f t="shared" si="3"/>
        <v>EF24</v>
      </c>
      <c r="Y11" s="35" t="str">
        <f t="shared" ca="1" si="30"/>
        <v/>
      </c>
      <c r="Z11" s="75" t="str">
        <f t="shared" ca="1" si="31"/>
        <v/>
      </c>
      <c r="AA11" s="40">
        <f t="shared" ca="1" si="32"/>
        <v>1.6360085464378713</v>
      </c>
      <c r="AB11" s="171">
        <f t="shared" ca="1" si="6"/>
        <v>3</v>
      </c>
      <c r="AC11" s="41">
        <f t="shared" ca="1" si="33"/>
        <v>30</v>
      </c>
      <c r="AD11" s="35">
        <f t="shared" ca="1" si="34"/>
        <v>30</v>
      </c>
      <c r="AE11" s="42">
        <f t="shared" ca="1" si="35"/>
        <v>3.9204000000000003</v>
      </c>
      <c r="AF11" s="146">
        <f t="shared" ca="1" si="36"/>
        <v>1.6360085464378713</v>
      </c>
      <c r="AG11" s="35">
        <f t="shared" ca="1" si="37"/>
        <v>10</v>
      </c>
      <c r="AH11" s="118">
        <v>1</v>
      </c>
      <c r="AI11" s="125">
        <f>IF(C$6=0,0,SUMIF('Prepool 2'!$X$5:$X$38,X11,'Prepool 2'!$AH$5:$AH$38)*2)</f>
        <v>0</v>
      </c>
    </row>
    <row r="12" spans="1:35" ht="15.65" x14ac:dyDescent="0.3">
      <c r="A12" s="36" t="str">
        <f>IF(INPUTS!A12=0,"none",INPUTS!A12)</f>
        <v>7050I</v>
      </c>
      <c r="B12" s="36" t="str">
        <f>IF(INPUTS!B12=0,"none",INPUTS!B12)</f>
        <v>EF25</v>
      </c>
      <c r="C12" s="109">
        <f>IF(B12="none",0,MATCH(B12,INPUTS!$B$6:$B$69,0))</f>
        <v>7</v>
      </c>
      <c r="D12" s="94">
        <f ca="1">IF($C12=0,"",OFFSET(INPUTS!D$5,$C12,0))</f>
        <v>2.5299999999999998</v>
      </c>
      <c r="E12" s="94">
        <f ca="1">IF($C12=0,"",OFFSET(INPUTS!E$5,$C12,0))</f>
        <v>20</v>
      </c>
      <c r="F12" s="115" t="str">
        <f ca="1">IF($C12=0,"",OFFSET(INPUTS!F$5,$C12,0))</f>
        <v>P4_A06</v>
      </c>
      <c r="G12" s="115">
        <f ca="1">IF($C12=0,"",OFFSET(INPUTS!G$5,$C12,0))</f>
        <v>0</v>
      </c>
      <c r="H12" s="94">
        <f ca="1">IF($C12=0,"",OFFSET(INPUTS!H$5,$C12,0))</f>
        <v>199</v>
      </c>
      <c r="I12" s="94">
        <f ca="1">IF($C12=0,"",OFFSET(INPUTS!I$5,$C12,0))</f>
        <v>0</v>
      </c>
      <c r="J12" s="94">
        <f ca="1">IF($C12=0,"",OFFSET(INPUTS!J$5,$C12,0))</f>
        <v>0</v>
      </c>
      <c r="K12" s="114">
        <f ca="1">IF($C12=0,"",OFFSET(INPUTS!K$5,$C12,0))</f>
        <v>19.26298157453936</v>
      </c>
      <c r="L12" s="114">
        <f ca="1">IF($C12=0,"",OFFSET(INPUTS!L$5,$C12,0))</f>
        <v>19.26298157453936</v>
      </c>
      <c r="M12" s="94">
        <f ca="1">IF($C12=0,"",OFFSET(INPUTS!M$5,$C12,0))</f>
        <v>0</v>
      </c>
      <c r="N12" s="94">
        <f ca="1">IF($C12=0,"",OFFSET(INPUTS!N$5,$C12,0))</f>
        <v>0</v>
      </c>
      <c r="O12" s="94" t="str">
        <f ca="1">IF($C12=0,"",OFFSET(INPUTS!O$5,$C12,0))</f>
        <v>nd</v>
      </c>
      <c r="P12" s="114">
        <f ca="1">IF($C12=0,"",OFFSET(INPUTS!P$5,$C12,0))</f>
        <v>19.26298157453936</v>
      </c>
      <c r="Q12" s="141">
        <f ca="1">IF($C12=0,"",OFFSET(INPUTS!Q$5,$C12,0))</f>
        <v>100</v>
      </c>
      <c r="R12" s="37">
        <f t="shared" ca="1" si="10"/>
        <v>19.26298157453936</v>
      </c>
      <c r="S12" s="38">
        <f t="shared" ca="1" si="27"/>
        <v>19.26298157453936</v>
      </c>
      <c r="T12" s="129" t="str">
        <f t="shared" si="28"/>
        <v>7050I</v>
      </c>
      <c r="U12" s="126" t="str">
        <f t="shared" ca="1" si="29"/>
        <v/>
      </c>
      <c r="V12" s="151" t="str">
        <f t="shared" ca="1" si="12"/>
        <v>P4_A06</v>
      </c>
      <c r="W12" s="131" t="str">
        <f t="shared" ca="1" si="2"/>
        <v/>
      </c>
      <c r="X12" s="39" t="str">
        <f t="shared" si="3"/>
        <v>EF25</v>
      </c>
      <c r="Y12" s="35" t="str">
        <f t="shared" ca="1" si="30"/>
        <v/>
      </c>
      <c r="Z12" s="75" t="str">
        <f t="shared" si="31"/>
        <v/>
      </c>
      <c r="AA12" s="40" t="str">
        <f t="shared" si="32"/>
        <v/>
      </c>
      <c r="AB12" s="171" t="str">
        <f t="shared" si="6"/>
        <v/>
      </c>
      <c r="AC12" s="41" t="str">
        <f t="shared" si="33"/>
        <v/>
      </c>
      <c r="AD12" s="35" t="str">
        <f t="shared" si="34"/>
        <v/>
      </c>
      <c r="AE12" s="42" t="str">
        <f t="shared" si="35"/>
        <v/>
      </c>
      <c r="AF12" s="146">
        <f t="shared" ca="1" si="36"/>
        <v>15.573913043478264</v>
      </c>
      <c r="AG12" s="35" t="str">
        <f t="shared" si="37"/>
        <v/>
      </c>
      <c r="AH12" s="118">
        <v>0</v>
      </c>
      <c r="AI12" s="125">
        <f>IF(C$6=0,0,SUMIF('Prepool 2'!$X$5:$X$38,X12,'Prepool 2'!$AH$5:$AH$38)*2)</f>
        <v>2</v>
      </c>
    </row>
    <row r="13" spans="1:35" ht="15.65" x14ac:dyDescent="0.3">
      <c r="A13" s="36" t="str">
        <f>IF(INPUTS!A13=0,"none",INPUTS!A13)</f>
        <v>7050I</v>
      </c>
      <c r="B13" s="36" t="str">
        <f>IF(INPUTS!B13=0,"none",INPUTS!B13)</f>
        <v>EF26</v>
      </c>
      <c r="C13" s="109">
        <f>IF(B13="none",0,MATCH(B13,INPUTS!$B$6:$B$69,0))</f>
        <v>8</v>
      </c>
      <c r="D13" s="94">
        <f ca="1">IF($C13=0,"",OFFSET(INPUTS!D$5,$C13,0))</f>
        <v>3.3</v>
      </c>
      <c r="E13" s="94">
        <f ca="1">IF($C13=0,"",OFFSET(INPUTS!E$5,$C13,0))</f>
        <v>20</v>
      </c>
      <c r="F13" s="115" t="str">
        <f ca="1">IF($C13=0,"",OFFSET(INPUTS!F$5,$C13,0))</f>
        <v>P4_B06</v>
      </c>
      <c r="G13" s="115">
        <f ca="1">IF($C13=0,"",OFFSET(INPUTS!G$5,$C13,0))</f>
        <v>0</v>
      </c>
      <c r="H13" s="94">
        <f ca="1">IF($C13=0,"",OFFSET(INPUTS!H$5,$C13,0))</f>
        <v>198</v>
      </c>
      <c r="I13" s="94">
        <f ca="1">IF($C13=0,"",OFFSET(INPUTS!I$5,$C13,0))</f>
        <v>0</v>
      </c>
      <c r="J13" s="94">
        <f ca="1">IF($C13=0,"",OFFSET(INPUTS!J$5,$C13,0))</f>
        <v>0</v>
      </c>
      <c r="K13" s="114">
        <f ca="1">IF($C13=0,"",OFFSET(INPUTS!K$5,$C13,0))</f>
        <v>25.252525252525253</v>
      </c>
      <c r="L13" s="114">
        <f ca="1">IF($C13=0,"",OFFSET(INPUTS!L$5,$C13,0))</f>
        <v>25.252525252525253</v>
      </c>
      <c r="M13" s="94">
        <f ca="1">IF($C13=0,"",OFFSET(INPUTS!M$5,$C13,0))</f>
        <v>0</v>
      </c>
      <c r="N13" s="94">
        <f ca="1">IF($C13=0,"",OFFSET(INPUTS!N$5,$C13,0))</f>
        <v>0</v>
      </c>
      <c r="O13" s="94" t="str">
        <f ca="1">IF($C13=0,"",OFFSET(INPUTS!O$5,$C13,0))</f>
        <v>nd</v>
      </c>
      <c r="P13" s="114">
        <f ca="1">IF($C13=0,"",OFFSET(INPUTS!P$5,$C13,0))</f>
        <v>25.252525252525253</v>
      </c>
      <c r="Q13" s="141">
        <f ca="1">IF($C13=0,"",OFFSET(INPUTS!Q$5,$C13,0))</f>
        <v>10</v>
      </c>
      <c r="R13" s="37">
        <f t="shared" ca="1" si="10"/>
        <v>25.252525252525253</v>
      </c>
      <c r="S13" s="38">
        <f t="shared" ca="1" si="27"/>
        <v>25.252525252525253</v>
      </c>
      <c r="T13" s="129" t="str">
        <f t="shared" si="28"/>
        <v>7050I</v>
      </c>
      <c r="U13" s="126" t="str">
        <f t="shared" ca="1" si="29"/>
        <v/>
      </c>
      <c r="V13" s="151" t="str">
        <f t="shared" ca="1" si="12"/>
        <v>P4_B06</v>
      </c>
      <c r="W13" s="131" t="str">
        <f t="shared" ca="1" si="2"/>
        <v/>
      </c>
      <c r="X13" s="39" t="str">
        <f t="shared" si="3"/>
        <v>EF26</v>
      </c>
      <c r="Y13" s="35" t="str">
        <f t="shared" ca="1" si="30"/>
        <v/>
      </c>
      <c r="Z13" s="75" t="str">
        <f t="shared" ca="1" si="31"/>
        <v/>
      </c>
      <c r="AA13" s="40">
        <f t="shared" ca="1" si="32"/>
        <v>1.1879999999999999</v>
      </c>
      <c r="AB13" s="171">
        <f t="shared" ca="1" si="6"/>
        <v>4</v>
      </c>
      <c r="AC13" s="41">
        <f t="shared" ca="1" si="33"/>
        <v>30</v>
      </c>
      <c r="AD13" s="35">
        <f t="shared" ca="1" si="34"/>
        <v>30</v>
      </c>
      <c r="AE13" s="42">
        <f t="shared" ca="1" si="35"/>
        <v>3.9203999999999994</v>
      </c>
      <c r="AF13" s="146">
        <f t="shared" ca="1" si="36"/>
        <v>1.1879999999999999</v>
      </c>
      <c r="AG13" s="35">
        <f t="shared" ca="1" si="37"/>
        <v>10</v>
      </c>
      <c r="AH13" s="118">
        <v>1</v>
      </c>
      <c r="AI13" s="125">
        <f>IF(C$6=0,0,SUMIF('Prepool 2'!$X$5:$X$38,X13,'Prepool 2'!$AH$5:$AH$38)*2)</f>
        <v>0</v>
      </c>
    </row>
    <row r="14" spans="1:35" ht="15.65" x14ac:dyDescent="0.3">
      <c r="A14" s="36" t="str">
        <f>IF(INPUTS!A14=0,"none",INPUTS!A14)</f>
        <v>7050I</v>
      </c>
      <c r="B14" s="36" t="str">
        <f>IF(INPUTS!B14=0,"none",INPUTS!B14)</f>
        <v>EF27</v>
      </c>
      <c r="C14" s="109">
        <f>IF(B14="none",0,MATCH(B14,INPUTS!$B$6:$B$69,0))</f>
        <v>9</v>
      </c>
      <c r="D14" s="94">
        <f ca="1">IF($C14=0,"",OFFSET(INPUTS!D$5,$C14,0))</f>
        <v>3.1212</v>
      </c>
      <c r="E14" s="94">
        <f ca="1">IF($C14=0,"",OFFSET(INPUTS!E$5,$C14,0))</f>
        <v>20</v>
      </c>
      <c r="F14" s="115" t="str">
        <f ca="1">IF($C14=0,"",OFFSET(INPUTS!F$5,$C14,0))</f>
        <v>P4_C06</v>
      </c>
      <c r="G14" s="115">
        <f ca="1">IF($C14=0,"",OFFSET(INPUTS!G$5,$C14,0))</f>
        <v>0</v>
      </c>
      <c r="H14" s="94">
        <f ca="1">IF($C14=0,"",OFFSET(INPUTS!H$5,$C14,0))</f>
        <v>197</v>
      </c>
      <c r="I14" s="94">
        <f ca="1">IF($C14=0,"",OFFSET(INPUTS!I$5,$C14,0))</f>
        <v>0</v>
      </c>
      <c r="J14" s="94">
        <f ca="1">IF($C14=0,"",OFFSET(INPUTS!J$5,$C14,0))</f>
        <v>0</v>
      </c>
      <c r="K14" s="114">
        <f ca="1">IF($C14=0,"",OFFSET(INPUTS!K$5,$C14,0))</f>
        <v>24.005537609598523</v>
      </c>
      <c r="L14" s="114">
        <f ca="1">IF($C14=0,"",OFFSET(INPUTS!L$5,$C14,0))</f>
        <v>24.005537609598523</v>
      </c>
      <c r="M14" s="94">
        <f ca="1">IF($C14=0,"",OFFSET(INPUTS!M$5,$C14,0))</f>
        <v>0</v>
      </c>
      <c r="N14" s="94">
        <f ca="1">IF($C14=0,"",OFFSET(INPUTS!N$5,$C14,0))</f>
        <v>0</v>
      </c>
      <c r="O14" s="94" t="str">
        <f ca="1">IF($C14=0,"",OFFSET(INPUTS!O$5,$C14,0))</f>
        <v>nd</v>
      </c>
      <c r="P14" s="114">
        <f ca="1">IF($C14=0,"",OFFSET(INPUTS!P$5,$C14,0))</f>
        <v>24.005537609598523</v>
      </c>
      <c r="Q14" s="141">
        <f ca="1">IF($C14=0,"",OFFSET(INPUTS!Q$5,$C14,0))</f>
        <v>100</v>
      </c>
      <c r="R14" s="37">
        <f t="shared" ca="1" si="10"/>
        <v>24.005537609598523</v>
      </c>
      <c r="S14" s="38">
        <f t="shared" ca="1" si="27"/>
        <v>24.005537609598523</v>
      </c>
      <c r="T14" s="129" t="str">
        <f t="shared" si="28"/>
        <v>7050I</v>
      </c>
      <c r="U14" s="126" t="str">
        <f t="shared" ca="1" si="29"/>
        <v/>
      </c>
      <c r="V14" s="151" t="str">
        <f t="shared" ca="1" si="12"/>
        <v>P4_C06</v>
      </c>
      <c r="W14" s="131" t="str">
        <f t="shared" ca="1" si="2"/>
        <v/>
      </c>
      <c r="X14" s="39" t="str">
        <f t="shared" si="3"/>
        <v>EF27</v>
      </c>
      <c r="Y14" s="35" t="str">
        <f t="shared" ca="1" si="30"/>
        <v/>
      </c>
      <c r="Z14" s="75" t="str">
        <f t="shared" si="31"/>
        <v/>
      </c>
      <c r="AA14" s="40" t="str">
        <f t="shared" si="32"/>
        <v/>
      </c>
      <c r="AB14" s="171" t="str">
        <f t="shared" si="6"/>
        <v/>
      </c>
      <c r="AC14" s="41" t="str">
        <f t="shared" si="33"/>
        <v/>
      </c>
      <c r="AD14" s="35" t="str">
        <f t="shared" si="34"/>
        <v/>
      </c>
      <c r="AE14" s="42" t="str">
        <f t="shared" si="35"/>
        <v/>
      </c>
      <c r="AF14" s="146">
        <f t="shared" ca="1" si="36"/>
        <v>12.497116493656286</v>
      </c>
      <c r="AG14" s="35" t="str">
        <f t="shared" si="37"/>
        <v/>
      </c>
      <c r="AH14" s="118">
        <v>0</v>
      </c>
      <c r="AI14" s="125">
        <f>IF(C$6=0,0,SUMIF('Prepool 2'!$X$5:$X$38,X14,'Prepool 2'!$AH$5:$AH$38)*2)</f>
        <v>2</v>
      </c>
    </row>
    <row r="15" spans="1:35" ht="15.65" x14ac:dyDescent="0.3">
      <c r="A15" s="36" t="str">
        <f>IF(INPUTS!A15=0,"none",INPUTS!A15)</f>
        <v>7050I</v>
      </c>
      <c r="B15" s="36" t="str">
        <f>IF(INPUTS!B15=0,"none",INPUTS!B15)</f>
        <v>EF28</v>
      </c>
      <c r="C15" s="109">
        <f>IF(B15="none",0,MATCH(B15,INPUTS!$B$6:$B$69,0))</f>
        <v>10</v>
      </c>
      <c r="D15" s="94">
        <f ca="1">IF($C15=0,"",OFFSET(INPUTS!D$5,$C15,0))</f>
        <v>0.1</v>
      </c>
      <c r="E15" s="94">
        <f ca="1">IF($C15=0,"",OFFSET(INPUTS!E$5,$C15,0))</f>
        <v>20</v>
      </c>
      <c r="F15" s="115" t="str">
        <f ca="1">IF($C15=0,"",OFFSET(INPUTS!F$5,$C15,0))</f>
        <v>P4_D06</v>
      </c>
      <c r="G15" s="115">
        <f ca="1">IF($C15=0,"",OFFSET(INPUTS!G$5,$C15,0))</f>
        <v>0</v>
      </c>
      <c r="H15" s="94">
        <f ca="1">IF($C15=0,"",OFFSET(INPUTS!H$5,$C15,0))</f>
        <v>198</v>
      </c>
      <c r="I15" s="94">
        <f ca="1">IF($C15=0,"",OFFSET(INPUTS!I$5,$C15,0))</f>
        <v>0</v>
      </c>
      <c r="J15" s="94">
        <f ca="1">IF($C15=0,"",OFFSET(INPUTS!J$5,$C15,0))</f>
        <v>0</v>
      </c>
      <c r="K15" s="114">
        <f ca="1">IF($C15=0,"",OFFSET(INPUTS!K$5,$C15,0))</f>
        <v>0.76522803795531069</v>
      </c>
      <c r="L15" s="114">
        <f ca="1">IF($C15=0,"",OFFSET(INPUTS!L$5,$C15,0))</f>
        <v>0.76522803795531069</v>
      </c>
      <c r="M15" s="94">
        <f ca="1">IF($C15=0,"",OFFSET(INPUTS!M$5,$C15,0))</f>
        <v>0</v>
      </c>
      <c r="N15" s="94">
        <f ca="1">IF($C15=0,"",OFFSET(INPUTS!N$5,$C15,0))</f>
        <v>0</v>
      </c>
      <c r="O15" s="94" t="str">
        <f ca="1">IF($C15=0,"",OFFSET(INPUTS!O$5,$C15,0))</f>
        <v>nd</v>
      </c>
      <c r="P15" s="114">
        <f ca="1">IF($C15=0,"",OFFSET(INPUTS!P$5,$C15,0))</f>
        <v>0.76522803795531069</v>
      </c>
      <c r="Q15" s="141">
        <f ca="1">IF($C15=0,"",OFFSET(INPUTS!Q$5,$C15,0))</f>
        <v>10</v>
      </c>
      <c r="R15" s="37">
        <f t="shared" ca="1" si="10"/>
        <v>0.76522803795531069</v>
      </c>
      <c r="S15" s="38">
        <f t="shared" ca="1" si="27"/>
        <v>0.76522803795531069</v>
      </c>
      <c r="T15" s="129" t="str">
        <f t="shared" si="28"/>
        <v>7050I</v>
      </c>
      <c r="U15" s="126" t="str">
        <f t="shared" ca="1" si="29"/>
        <v/>
      </c>
      <c r="V15" s="151" t="str">
        <f t="shared" ca="1" si="12"/>
        <v>P4_D06</v>
      </c>
      <c r="W15" s="131" t="str">
        <f t="shared" ca="1" si="2"/>
        <v/>
      </c>
      <c r="X15" s="39" t="str">
        <f t="shared" si="3"/>
        <v>EF28</v>
      </c>
      <c r="Y15" s="35" t="str">
        <f t="shared" ca="1" si="30"/>
        <v/>
      </c>
      <c r="Z15" s="75" t="str">
        <f t="shared" si="31"/>
        <v/>
      </c>
      <c r="AA15" s="40" t="str">
        <f t="shared" si="32"/>
        <v/>
      </c>
      <c r="AB15" s="171" t="str">
        <f t="shared" si="6"/>
        <v/>
      </c>
      <c r="AC15" s="41" t="str">
        <f t="shared" si="33"/>
        <v/>
      </c>
      <c r="AD15" s="35" t="str">
        <f t="shared" si="34"/>
        <v/>
      </c>
      <c r="AE15" s="42" t="str">
        <f t="shared" si="35"/>
        <v/>
      </c>
      <c r="AF15" s="146">
        <f t="shared" ca="1" si="36"/>
        <v>39.204000000000001</v>
      </c>
      <c r="AG15" s="35" t="str">
        <f t="shared" si="37"/>
        <v/>
      </c>
      <c r="AH15" s="118">
        <v>0</v>
      </c>
      <c r="AI15" s="125">
        <f>IF(C$6=0,0,SUMIF('Prepool 2'!$X$5:$X$38,X15,'Prepool 2'!$AH$5:$AH$38)*2)</f>
        <v>2</v>
      </c>
    </row>
    <row r="16" spans="1:35" ht="15.65" x14ac:dyDescent="0.3">
      <c r="A16" s="36" t="str">
        <f>IF(INPUTS!A16=0,"none",INPUTS!A16)</f>
        <v>7050I</v>
      </c>
      <c r="B16" s="36" t="str">
        <f>IF(INPUTS!B16=0,"none",INPUTS!B16)</f>
        <v>EF29</v>
      </c>
      <c r="C16" s="109">
        <f>IF(B16="none",0,MATCH(B16,INPUTS!$B$6:$B$69,0))</f>
        <v>11</v>
      </c>
      <c r="D16" s="94">
        <f ca="1">IF($C16=0,"",OFFSET(INPUTS!D$5,$C16,0))</f>
        <v>0.1</v>
      </c>
      <c r="E16" s="94">
        <f ca="1">IF($C16=0,"",OFFSET(INPUTS!E$5,$C16,0))</f>
        <v>20</v>
      </c>
      <c r="F16" s="115" t="str">
        <f ca="1">IF($C16=0,"",OFFSET(INPUTS!F$5,$C16,0))</f>
        <v>P4_E06</v>
      </c>
      <c r="G16" s="115">
        <f ca="1">IF($C16=0,"",OFFSET(INPUTS!G$5,$C16,0))</f>
        <v>0</v>
      </c>
      <c r="H16" s="94">
        <f ca="1">IF($C16=0,"",OFFSET(INPUTS!H$5,$C16,0))</f>
        <v>196</v>
      </c>
      <c r="I16" s="94">
        <f ca="1">IF($C16=0,"",OFFSET(INPUTS!I$5,$C16,0))</f>
        <v>0</v>
      </c>
      <c r="J16" s="94">
        <f ca="1">IF($C16=0,"",OFFSET(INPUTS!J$5,$C16,0))</f>
        <v>0</v>
      </c>
      <c r="K16" s="114">
        <f ca="1">IF($C16=0,"",OFFSET(INPUTS!K$5,$C16,0))</f>
        <v>0.77303648732220165</v>
      </c>
      <c r="L16" s="114">
        <f ca="1">IF($C16=0,"",OFFSET(INPUTS!L$5,$C16,0))</f>
        <v>0.77303648732220165</v>
      </c>
      <c r="M16" s="94">
        <f ca="1">IF($C16=0,"",OFFSET(INPUTS!M$5,$C16,0))</f>
        <v>0</v>
      </c>
      <c r="N16" s="94">
        <f ca="1">IF($C16=0,"",OFFSET(INPUTS!N$5,$C16,0))</f>
        <v>0</v>
      </c>
      <c r="O16" s="94" t="str">
        <f ca="1">IF($C16=0,"",OFFSET(INPUTS!O$5,$C16,0))</f>
        <v>nd</v>
      </c>
      <c r="P16" s="114">
        <f ca="1">IF($C16=0,"",OFFSET(INPUTS!P$5,$C16,0))</f>
        <v>0.77303648732220165</v>
      </c>
      <c r="Q16" s="141">
        <f ca="1">IF($C16=0,"",OFFSET(INPUTS!Q$5,$C16,0))</f>
        <v>100</v>
      </c>
      <c r="R16" s="37">
        <f t="shared" ca="1" si="10"/>
        <v>0.77303648732220165</v>
      </c>
      <c r="S16" s="38">
        <f t="shared" ca="1" si="27"/>
        <v>0.77303648732220165</v>
      </c>
      <c r="T16" s="129" t="str">
        <f t="shared" si="28"/>
        <v>7050I</v>
      </c>
      <c r="U16" s="126" t="str">
        <f t="shared" ca="1" si="29"/>
        <v/>
      </c>
      <c r="V16" s="151" t="str">
        <f t="shared" ca="1" si="12"/>
        <v>P4_E06</v>
      </c>
      <c r="W16" s="131" t="str">
        <f t="shared" ca="1" si="2"/>
        <v/>
      </c>
      <c r="X16" s="39" t="str">
        <f t="shared" si="3"/>
        <v>EF29</v>
      </c>
      <c r="Y16" s="35" t="str">
        <f t="shared" ca="1" si="30"/>
        <v/>
      </c>
      <c r="Z16" s="75" t="str">
        <f t="shared" si="31"/>
        <v/>
      </c>
      <c r="AA16" s="40" t="str">
        <f t="shared" si="32"/>
        <v/>
      </c>
      <c r="AB16" s="171" t="str">
        <f t="shared" si="6"/>
        <v/>
      </c>
      <c r="AC16" s="41" t="str">
        <f t="shared" si="33"/>
        <v/>
      </c>
      <c r="AD16" s="35" t="str">
        <f t="shared" si="34"/>
        <v/>
      </c>
      <c r="AE16" s="42" t="str">
        <f t="shared" si="35"/>
        <v/>
      </c>
      <c r="AF16" s="146">
        <f t="shared" ca="1" si="36"/>
        <v>388.08</v>
      </c>
      <c r="AG16" s="35" t="str">
        <f t="shared" si="37"/>
        <v/>
      </c>
      <c r="AH16" s="118">
        <v>0</v>
      </c>
      <c r="AI16" s="125">
        <f>IF(C$6=0,0,SUMIF('Prepool 2'!$X$5:$X$38,X16,'Prepool 2'!$AH$5:$AH$38)*2)</f>
        <v>0</v>
      </c>
    </row>
    <row r="17" spans="1:35" ht="16.3" thickBot="1" x14ac:dyDescent="0.35">
      <c r="A17" s="36" t="str">
        <f>IF(INPUTS!A17=0,"none",INPUTS!A17)</f>
        <v>7050I</v>
      </c>
      <c r="B17" s="36" t="str">
        <f>IF(INPUTS!B17=0,"none",INPUTS!B17)</f>
        <v>EF30</v>
      </c>
      <c r="C17" s="109">
        <f>IF(B17="none",0,MATCH(B17,INPUTS!$B$6:$B$69,0))</f>
        <v>12</v>
      </c>
      <c r="D17" s="94">
        <f ca="1">IF($C17=0,"",OFFSET(INPUTS!D$5,$C17,0))</f>
        <v>0.1</v>
      </c>
      <c r="E17" s="94">
        <f ca="1">IF($C17=0,"",OFFSET(INPUTS!E$5,$C17,0))</f>
        <v>20</v>
      </c>
      <c r="F17" s="115" t="str">
        <f ca="1">IF($C17=0,"",OFFSET(INPUTS!F$5,$C17,0))</f>
        <v>P4_F06</v>
      </c>
      <c r="G17" s="115">
        <f ca="1">IF($C17=0,"",OFFSET(INPUTS!G$5,$C17,0))</f>
        <v>0</v>
      </c>
      <c r="H17" s="94">
        <f ca="1">IF($C17=0,"",OFFSET(INPUTS!H$5,$C17,0))</f>
        <v>197</v>
      </c>
      <c r="I17" s="94">
        <f ca="1">IF($C17=0,"",OFFSET(INPUTS!I$5,$C17,0))</f>
        <v>0</v>
      </c>
      <c r="J17" s="94">
        <f ca="1">IF($C17=0,"",OFFSET(INPUTS!J$5,$C17,0))</f>
        <v>0</v>
      </c>
      <c r="K17" s="114">
        <f ca="1">IF($C17=0,"",OFFSET(INPUTS!K$5,$C17,0))</f>
        <v>0.76911244423934777</v>
      </c>
      <c r="L17" s="114">
        <f ca="1">IF($C17=0,"",OFFSET(INPUTS!L$5,$C17,0))</f>
        <v>0.76911244423934777</v>
      </c>
      <c r="M17" s="94">
        <f ca="1">IF($C17=0,"",OFFSET(INPUTS!M$5,$C17,0))</f>
        <v>0</v>
      </c>
      <c r="N17" s="94">
        <f ca="1">IF($C17=0,"",OFFSET(INPUTS!N$5,$C17,0))</f>
        <v>0</v>
      </c>
      <c r="O17" s="94" t="str">
        <f ca="1">IF($C17=0,"",OFFSET(INPUTS!O$5,$C17,0))</f>
        <v>nd</v>
      </c>
      <c r="P17" s="114">
        <f ca="1">IF($C17=0,"",OFFSET(INPUTS!P$5,$C17,0))</f>
        <v>0.76911244423934777</v>
      </c>
      <c r="Q17" s="141">
        <f ca="1">IF($C17=0,"",OFFSET(INPUTS!Q$5,$C17,0))</f>
        <v>10</v>
      </c>
      <c r="R17" s="37">
        <f t="shared" ca="1" si="10"/>
        <v>0.76911244423934777</v>
      </c>
      <c r="S17" s="38">
        <f t="shared" ca="1" si="27"/>
        <v>0.76911244423934777</v>
      </c>
      <c r="T17" s="129" t="str">
        <f t="shared" si="28"/>
        <v>7050I</v>
      </c>
      <c r="U17" s="126" t="str">
        <f t="shared" ca="1" si="29"/>
        <v/>
      </c>
      <c r="V17" s="151" t="str">
        <f t="shared" ca="1" si="12"/>
        <v>P4_F06</v>
      </c>
      <c r="W17" s="131" t="str">
        <f t="shared" ca="1" si="2"/>
        <v/>
      </c>
      <c r="X17" s="39" t="str">
        <f t="shared" si="3"/>
        <v>EF30</v>
      </c>
      <c r="Y17" s="35" t="str">
        <f t="shared" ca="1" si="30"/>
        <v/>
      </c>
      <c r="Z17" s="75" t="str">
        <f t="shared" si="31"/>
        <v/>
      </c>
      <c r="AA17" s="40" t="str">
        <f t="shared" si="32"/>
        <v/>
      </c>
      <c r="AB17" s="171" t="str">
        <f t="shared" si="6"/>
        <v/>
      </c>
      <c r="AC17" s="41" t="str">
        <f t="shared" si="33"/>
        <v/>
      </c>
      <c r="AD17" s="35" t="str">
        <f t="shared" si="34"/>
        <v/>
      </c>
      <c r="AE17" s="42" t="str">
        <f t="shared" si="35"/>
        <v/>
      </c>
      <c r="AF17" s="146">
        <f t="shared" ca="1" si="36"/>
        <v>39.006</v>
      </c>
      <c r="AG17" s="35" t="str">
        <f t="shared" si="37"/>
        <v/>
      </c>
      <c r="AH17" s="118">
        <v>0</v>
      </c>
      <c r="AI17" s="125">
        <f>IF(C$6=0,0,SUMIF('Prepool 2'!$X$5:$X$38,X17,'Prepool 2'!$AH$5:$AH$38)*2)</f>
        <v>2</v>
      </c>
    </row>
    <row r="18" spans="1:35" ht="15.65" hidden="1" x14ac:dyDescent="0.3">
      <c r="A18" s="36" t="str">
        <f>IF(INPUTS!A18=0,"none",INPUTS!A18)</f>
        <v>none</v>
      </c>
      <c r="B18" s="36" t="str">
        <f>IF(INPUTS!B18=0,"none",INPUTS!B18)</f>
        <v>none</v>
      </c>
      <c r="C18" s="109">
        <f>IF(B18="none",0,MATCH(B18,INPUTS!$B$6:$B$69,0))</f>
        <v>0</v>
      </c>
      <c r="D18" s="94" t="str">
        <f ca="1">IF($C18=0,"",OFFSET(INPUTS!D$5,$C18,0))</f>
        <v/>
      </c>
      <c r="E18" s="94" t="str">
        <f ca="1">IF($C18=0,"",OFFSET(INPUTS!E$5,$C18,0))</f>
        <v/>
      </c>
      <c r="F18" s="115" t="str">
        <f ca="1">IF($C18=0,"",OFFSET(INPUTS!F$5,$C18,0))</f>
        <v/>
      </c>
      <c r="G18" s="115" t="str">
        <f ca="1">IF($C18=0,"",OFFSET(INPUTS!G$5,$C18,0))</f>
        <v/>
      </c>
      <c r="H18" s="94" t="str">
        <f ca="1">IF($C18=0,"",OFFSET(INPUTS!H$5,$C18,0))</f>
        <v/>
      </c>
      <c r="I18" s="94" t="str">
        <f ca="1">IF($C18=0,"",OFFSET(INPUTS!I$5,$C18,0))</f>
        <v/>
      </c>
      <c r="J18" s="94" t="str">
        <f ca="1">IF($C18=0,"",OFFSET(INPUTS!J$5,$C18,0))</f>
        <v/>
      </c>
      <c r="K18" s="114" t="str">
        <f ca="1">IF($C18=0,"",OFFSET(INPUTS!K$5,$C18,0))</f>
        <v/>
      </c>
      <c r="L18" s="114" t="str">
        <f ca="1">IF($C18=0,"",OFFSET(INPUTS!L$5,$C18,0))</f>
        <v/>
      </c>
      <c r="M18" s="94" t="str">
        <f ca="1">IF($C18=0,"",OFFSET(INPUTS!M$5,$C18,0))</f>
        <v/>
      </c>
      <c r="N18" s="94" t="str">
        <f ca="1">IF($C18=0,"",OFFSET(INPUTS!N$5,$C18,0))</f>
        <v/>
      </c>
      <c r="O18" s="94" t="str">
        <f ca="1">IF($C18=0,"",OFFSET(INPUTS!O$5,$C18,0))</f>
        <v/>
      </c>
      <c r="P18" s="114" t="str">
        <f ca="1">IF($C18=0,"",OFFSET(INPUTS!P$5,$C18,0))</f>
        <v/>
      </c>
      <c r="Q18" s="141" t="str">
        <f ca="1">IF($C18=0,"",OFFSET(INPUTS!Q$5,$C18,0))</f>
        <v/>
      </c>
      <c r="R18" s="37" t="str">
        <f t="shared" si="10"/>
        <v/>
      </c>
      <c r="S18" s="38">
        <f t="shared" ca="1" si="27"/>
        <v>0</v>
      </c>
      <c r="T18" s="129" t="str">
        <f t="shared" si="28"/>
        <v>none</v>
      </c>
      <c r="U18" s="126" t="str">
        <f t="shared" ca="1" si="29"/>
        <v/>
      </c>
      <c r="V18" s="151" t="str">
        <f t="shared" ca="1" si="12"/>
        <v/>
      </c>
      <c r="W18" s="131" t="str">
        <f t="shared" ca="1" si="2"/>
        <v/>
      </c>
      <c r="X18" s="39" t="str">
        <f t="shared" si="3"/>
        <v>none</v>
      </c>
      <c r="Y18" s="35" t="str">
        <f t="shared" ca="1" si="30"/>
        <v/>
      </c>
      <c r="Z18" s="75" t="str">
        <f t="shared" si="31"/>
        <v/>
      </c>
      <c r="AA18" s="40" t="str">
        <f t="shared" si="32"/>
        <v/>
      </c>
      <c r="AB18" s="171" t="str">
        <f t="shared" si="6"/>
        <v/>
      </c>
      <c r="AC18" s="41" t="str">
        <f t="shared" si="33"/>
        <v/>
      </c>
      <c r="AD18" s="35" t="str">
        <f t="shared" si="34"/>
        <v/>
      </c>
      <c r="AE18" s="42" t="str">
        <f t="shared" si="35"/>
        <v/>
      </c>
      <c r="AF18" s="146" t="str">
        <f t="shared" si="36"/>
        <v/>
      </c>
      <c r="AG18" s="35" t="str">
        <f t="shared" si="37"/>
        <v/>
      </c>
      <c r="AH18" s="118">
        <v>0</v>
      </c>
      <c r="AI18" s="125">
        <f>IF(C$6=0,0,SUMIF('Prepool 2'!$X$5:$X$38,X18,'Prepool 2'!$AH$5:$AH$38)*2)</f>
        <v>0</v>
      </c>
    </row>
    <row r="19" spans="1:35" ht="15.65" hidden="1" x14ac:dyDescent="0.3">
      <c r="A19" s="36" t="str">
        <f>IF(INPUTS!A19=0,"none",INPUTS!A19)</f>
        <v>none</v>
      </c>
      <c r="B19" s="36" t="str">
        <f>IF(INPUTS!B19=0,"none",INPUTS!B19)</f>
        <v>none</v>
      </c>
      <c r="C19" s="109">
        <f>IF(B19="none",0,MATCH(B19,INPUTS!$B$6:$B$69,0))</f>
        <v>0</v>
      </c>
      <c r="D19" s="94" t="str">
        <f ca="1">IF($C19=0,"",OFFSET(INPUTS!D$5,$C19,0))</f>
        <v/>
      </c>
      <c r="E19" s="94" t="str">
        <f ca="1">IF($C19=0,"",OFFSET(INPUTS!E$5,$C19,0))</f>
        <v/>
      </c>
      <c r="F19" s="115" t="str">
        <f ca="1">IF($C19=0,"",OFFSET(INPUTS!F$5,$C19,0))</f>
        <v/>
      </c>
      <c r="G19" s="115" t="str">
        <f ca="1">IF($C19=0,"",OFFSET(INPUTS!G$5,$C19,0))</f>
        <v/>
      </c>
      <c r="H19" s="94" t="str">
        <f ca="1">IF($C19=0,"",OFFSET(INPUTS!H$5,$C19,0))</f>
        <v/>
      </c>
      <c r="I19" s="94" t="str">
        <f ca="1">IF($C19=0,"",OFFSET(INPUTS!I$5,$C19,0))</f>
        <v/>
      </c>
      <c r="J19" s="94" t="str">
        <f ca="1">IF($C19=0,"",OFFSET(INPUTS!J$5,$C19,0))</f>
        <v/>
      </c>
      <c r="K19" s="114" t="str">
        <f ca="1">IF($C19=0,"",OFFSET(INPUTS!K$5,$C19,0))</f>
        <v/>
      </c>
      <c r="L19" s="114" t="str">
        <f ca="1">IF($C19=0,"",OFFSET(INPUTS!L$5,$C19,0))</f>
        <v/>
      </c>
      <c r="M19" s="94" t="str">
        <f ca="1">IF($C19=0,"",OFFSET(INPUTS!M$5,$C19,0))</f>
        <v/>
      </c>
      <c r="N19" s="94" t="str">
        <f ca="1">IF($C19=0,"",OFFSET(INPUTS!N$5,$C19,0))</f>
        <v/>
      </c>
      <c r="O19" s="94" t="str">
        <f ca="1">IF($C19=0,"",OFFSET(INPUTS!O$5,$C19,0))</f>
        <v/>
      </c>
      <c r="P19" s="114" t="str">
        <f ca="1">IF($C19=0,"",OFFSET(INPUTS!P$5,$C19,0))</f>
        <v/>
      </c>
      <c r="Q19" s="141" t="str">
        <f ca="1">IF($C19=0,"",OFFSET(INPUTS!Q$5,$C19,0))</f>
        <v/>
      </c>
      <c r="R19" s="37" t="str">
        <f t="shared" si="10"/>
        <v/>
      </c>
      <c r="S19" s="38">
        <f t="shared" ca="1" si="27"/>
        <v>0</v>
      </c>
      <c r="T19" s="129" t="str">
        <f t="shared" si="28"/>
        <v>none</v>
      </c>
      <c r="U19" s="126" t="str">
        <f t="shared" ca="1" si="29"/>
        <v/>
      </c>
      <c r="V19" s="151" t="str">
        <f t="shared" ca="1" si="12"/>
        <v/>
      </c>
      <c r="W19" s="131" t="str">
        <f t="shared" ca="1" si="2"/>
        <v/>
      </c>
      <c r="X19" s="39" t="str">
        <f t="shared" si="3"/>
        <v>none</v>
      </c>
      <c r="Y19" s="35" t="str">
        <f t="shared" ca="1" si="30"/>
        <v/>
      </c>
      <c r="Z19" s="75" t="str">
        <f t="shared" si="31"/>
        <v/>
      </c>
      <c r="AA19" s="40" t="str">
        <f t="shared" si="32"/>
        <v/>
      </c>
      <c r="AB19" s="171" t="str">
        <f t="shared" si="6"/>
        <v/>
      </c>
      <c r="AC19" s="41" t="str">
        <f t="shared" si="33"/>
        <v/>
      </c>
      <c r="AD19" s="35" t="str">
        <f t="shared" si="34"/>
        <v/>
      </c>
      <c r="AE19" s="42" t="str">
        <f t="shared" si="35"/>
        <v/>
      </c>
      <c r="AF19" s="146" t="str">
        <f t="shared" si="36"/>
        <v/>
      </c>
      <c r="AG19" s="35" t="str">
        <f t="shared" si="37"/>
        <v/>
      </c>
      <c r="AH19" s="118">
        <v>0</v>
      </c>
      <c r="AI19" s="125">
        <f>IF(C$6=0,0,SUMIF('Prepool 2'!$X$5:$X$38,X19,'Prepool 2'!$AH$5:$AH$38)*2)</f>
        <v>0</v>
      </c>
    </row>
    <row r="20" spans="1:35" ht="15.65" hidden="1" x14ac:dyDescent="0.3">
      <c r="A20" s="36" t="str">
        <f>IF(INPUTS!A20=0,"none",INPUTS!A20)</f>
        <v>none</v>
      </c>
      <c r="B20" s="36" t="str">
        <f>IF(INPUTS!B20=0,"none",INPUTS!B20)</f>
        <v>none</v>
      </c>
      <c r="C20" s="109">
        <f>IF(B20="none",0,MATCH(B20,INPUTS!$B$6:$B$69,0))</f>
        <v>0</v>
      </c>
      <c r="D20" s="94" t="str">
        <f ca="1">IF($C20=0,"",OFFSET(INPUTS!D$5,$C20,0))</f>
        <v/>
      </c>
      <c r="E20" s="94" t="str">
        <f ca="1">IF($C20=0,"",OFFSET(INPUTS!E$5,$C20,0))</f>
        <v/>
      </c>
      <c r="F20" s="115" t="str">
        <f ca="1">IF($C20=0,"",OFFSET(INPUTS!F$5,$C20,0))</f>
        <v/>
      </c>
      <c r="G20" s="115" t="str">
        <f ca="1">IF($C20=0,"",OFFSET(INPUTS!G$5,$C20,0))</f>
        <v/>
      </c>
      <c r="H20" s="94" t="str">
        <f ca="1">IF($C20=0,"",OFFSET(INPUTS!H$5,$C20,0))</f>
        <v/>
      </c>
      <c r="I20" s="94" t="str">
        <f ca="1">IF($C20=0,"",OFFSET(INPUTS!I$5,$C20,0))</f>
        <v/>
      </c>
      <c r="J20" s="94" t="str">
        <f ca="1">IF($C20=0,"",OFFSET(INPUTS!J$5,$C20,0))</f>
        <v/>
      </c>
      <c r="K20" s="114" t="str">
        <f ca="1">IF($C20=0,"",OFFSET(INPUTS!K$5,$C20,0))</f>
        <v/>
      </c>
      <c r="L20" s="114" t="str">
        <f ca="1">IF($C20=0,"",OFFSET(INPUTS!L$5,$C20,0))</f>
        <v/>
      </c>
      <c r="M20" s="94" t="str">
        <f ca="1">IF($C20=0,"",OFFSET(INPUTS!M$5,$C20,0))</f>
        <v/>
      </c>
      <c r="N20" s="94" t="str">
        <f ca="1">IF($C20=0,"",OFFSET(INPUTS!N$5,$C20,0))</f>
        <v/>
      </c>
      <c r="O20" s="94" t="str">
        <f ca="1">IF($C20=0,"",OFFSET(INPUTS!O$5,$C20,0))</f>
        <v/>
      </c>
      <c r="P20" s="114" t="str">
        <f ca="1">IF($C20=0,"",OFFSET(INPUTS!P$5,$C20,0))</f>
        <v/>
      </c>
      <c r="Q20" s="141" t="str">
        <f ca="1">IF($C20=0,"",OFFSET(INPUTS!Q$5,$C20,0))</f>
        <v/>
      </c>
      <c r="R20" s="37" t="str">
        <f t="shared" si="10"/>
        <v/>
      </c>
      <c r="S20" s="38">
        <f t="shared" ca="1" si="27"/>
        <v>0</v>
      </c>
      <c r="T20" s="129" t="str">
        <f t="shared" si="28"/>
        <v>none</v>
      </c>
      <c r="U20" s="126" t="str">
        <f t="shared" ca="1" si="29"/>
        <v/>
      </c>
      <c r="V20" s="151" t="str">
        <f t="shared" ca="1" si="12"/>
        <v/>
      </c>
      <c r="W20" s="131" t="str">
        <f t="shared" ca="1" si="2"/>
        <v/>
      </c>
      <c r="X20" s="39" t="str">
        <f t="shared" si="3"/>
        <v>none</v>
      </c>
      <c r="Y20" s="35" t="str">
        <f t="shared" ca="1" si="30"/>
        <v/>
      </c>
      <c r="Z20" s="75" t="str">
        <f t="shared" si="31"/>
        <v/>
      </c>
      <c r="AA20" s="40" t="str">
        <f t="shared" si="32"/>
        <v/>
      </c>
      <c r="AB20" s="171" t="str">
        <f t="shared" si="6"/>
        <v/>
      </c>
      <c r="AC20" s="41" t="str">
        <f t="shared" si="33"/>
        <v/>
      </c>
      <c r="AD20" s="35" t="str">
        <f t="shared" si="34"/>
        <v/>
      </c>
      <c r="AE20" s="42" t="str">
        <f t="shared" si="35"/>
        <v/>
      </c>
      <c r="AF20" s="146" t="str">
        <f t="shared" si="36"/>
        <v/>
      </c>
      <c r="AG20" s="35" t="str">
        <f t="shared" si="37"/>
        <v/>
      </c>
      <c r="AH20" s="118">
        <v>0</v>
      </c>
      <c r="AI20" s="125">
        <f>IF(C$6=0,0,SUMIF('Prepool 2'!$X$5:$X$38,X20,'Prepool 2'!$AH$5:$AH$38)*2)</f>
        <v>0</v>
      </c>
    </row>
    <row r="21" spans="1:35" ht="15.65" hidden="1" x14ac:dyDescent="0.3">
      <c r="A21" s="36" t="str">
        <f>IF(INPUTS!A21=0,"none",INPUTS!A21)</f>
        <v>none</v>
      </c>
      <c r="B21" s="36" t="str">
        <f>IF(INPUTS!B21=0,"none",INPUTS!B21)</f>
        <v>none</v>
      </c>
      <c r="C21" s="109">
        <f>IF(B21="none",0,MATCH(B21,INPUTS!$B$6:$B$69,0))</f>
        <v>0</v>
      </c>
      <c r="D21" s="94" t="str">
        <f ca="1">IF($C21=0,"",OFFSET(INPUTS!D$5,$C21,0))</f>
        <v/>
      </c>
      <c r="E21" s="94" t="str">
        <f ca="1">IF($C21=0,"",OFFSET(INPUTS!E$5,$C21,0))</f>
        <v/>
      </c>
      <c r="F21" s="115" t="str">
        <f ca="1">IF($C21=0,"",OFFSET(INPUTS!F$5,$C21,0))</f>
        <v/>
      </c>
      <c r="G21" s="115" t="str">
        <f ca="1">IF($C21=0,"",OFFSET(INPUTS!G$5,$C21,0))</f>
        <v/>
      </c>
      <c r="H21" s="94" t="str">
        <f ca="1">IF($C21=0,"",OFFSET(INPUTS!H$5,$C21,0))</f>
        <v/>
      </c>
      <c r="I21" s="94" t="str">
        <f ca="1">IF($C21=0,"",OFFSET(INPUTS!I$5,$C21,0))</f>
        <v/>
      </c>
      <c r="J21" s="94" t="str">
        <f ca="1">IF($C21=0,"",OFFSET(INPUTS!J$5,$C21,0))</f>
        <v/>
      </c>
      <c r="K21" s="114" t="str">
        <f ca="1">IF($C21=0,"",OFFSET(INPUTS!K$5,$C21,0))</f>
        <v/>
      </c>
      <c r="L21" s="114" t="str">
        <f ca="1">IF($C21=0,"",OFFSET(INPUTS!L$5,$C21,0))</f>
        <v/>
      </c>
      <c r="M21" s="94" t="str">
        <f ca="1">IF($C21=0,"",OFFSET(INPUTS!M$5,$C21,0))</f>
        <v/>
      </c>
      <c r="N21" s="94" t="str">
        <f ca="1">IF($C21=0,"",OFFSET(INPUTS!N$5,$C21,0))</f>
        <v/>
      </c>
      <c r="O21" s="94" t="str">
        <f ca="1">IF($C21=0,"",OFFSET(INPUTS!O$5,$C21,0))</f>
        <v/>
      </c>
      <c r="P21" s="114" t="str">
        <f ca="1">IF($C21=0,"",OFFSET(INPUTS!P$5,$C21,0))</f>
        <v/>
      </c>
      <c r="Q21" s="141" t="str">
        <f ca="1">IF($C21=0,"",OFFSET(INPUTS!Q$5,$C21,0))</f>
        <v/>
      </c>
      <c r="R21" s="37" t="str">
        <f t="shared" si="10"/>
        <v/>
      </c>
      <c r="S21" s="38">
        <f t="shared" ca="1" si="27"/>
        <v>0</v>
      </c>
      <c r="T21" s="129" t="str">
        <f t="shared" si="28"/>
        <v>none</v>
      </c>
      <c r="U21" s="126" t="str">
        <f t="shared" ca="1" si="29"/>
        <v/>
      </c>
      <c r="V21" s="151" t="str">
        <f t="shared" ca="1" si="12"/>
        <v/>
      </c>
      <c r="W21" s="131" t="str">
        <f t="shared" ca="1" si="2"/>
        <v/>
      </c>
      <c r="X21" s="39" t="str">
        <f t="shared" si="3"/>
        <v>none</v>
      </c>
      <c r="Y21" s="35" t="str">
        <f t="shared" ca="1" si="30"/>
        <v/>
      </c>
      <c r="Z21" s="75" t="str">
        <f t="shared" si="31"/>
        <v/>
      </c>
      <c r="AA21" s="40" t="str">
        <f t="shared" si="32"/>
        <v/>
      </c>
      <c r="AB21" s="171" t="str">
        <f t="shared" si="6"/>
        <v/>
      </c>
      <c r="AC21" s="41" t="str">
        <f t="shared" si="33"/>
        <v/>
      </c>
      <c r="AD21" s="35" t="str">
        <f t="shared" si="34"/>
        <v/>
      </c>
      <c r="AE21" s="42" t="str">
        <f t="shared" si="35"/>
        <v/>
      </c>
      <c r="AF21" s="146" t="str">
        <f t="shared" si="36"/>
        <v/>
      </c>
      <c r="AG21" s="35" t="str">
        <f t="shared" si="37"/>
        <v/>
      </c>
      <c r="AH21" s="118">
        <v>0</v>
      </c>
      <c r="AI21" s="125">
        <f>IF(C$6=0,0,SUMIF('Prepool 2'!$X$5:$X$38,X21,'Prepool 2'!$AH$5:$AH$38)*2)</f>
        <v>0</v>
      </c>
    </row>
    <row r="22" spans="1:35" ht="15.65" hidden="1" x14ac:dyDescent="0.3">
      <c r="A22" s="36" t="str">
        <f>IF(INPUTS!A22=0,"none",INPUTS!A22)</f>
        <v>none</v>
      </c>
      <c r="B22" s="36" t="str">
        <f>IF(INPUTS!B22=0,"none",INPUTS!B22)</f>
        <v>none</v>
      </c>
      <c r="C22" s="109">
        <f>IF(B22="none",0,MATCH(B22,INPUTS!$B$6:$B$69,0))</f>
        <v>0</v>
      </c>
      <c r="D22" s="94" t="str">
        <f ca="1">IF($C22=0,"",OFFSET(INPUTS!D$5,$C22,0))</f>
        <v/>
      </c>
      <c r="E22" s="94" t="str">
        <f ca="1">IF($C22=0,"",OFFSET(INPUTS!E$5,$C22,0))</f>
        <v/>
      </c>
      <c r="F22" s="115" t="str">
        <f ca="1">IF($C22=0,"",OFFSET(INPUTS!F$5,$C22,0))</f>
        <v/>
      </c>
      <c r="G22" s="115" t="str">
        <f ca="1">IF($C22=0,"",OFFSET(INPUTS!G$5,$C22,0))</f>
        <v/>
      </c>
      <c r="H22" s="94" t="str">
        <f ca="1">IF($C22=0,"",OFFSET(INPUTS!H$5,$C22,0))</f>
        <v/>
      </c>
      <c r="I22" s="94" t="str">
        <f ca="1">IF($C22=0,"",OFFSET(INPUTS!I$5,$C22,0))</f>
        <v/>
      </c>
      <c r="J22" s="94" t="str">
        <f ca="1">IF($C22=0,"",OFFSET(INPUTS!J$5,$C22,0))</f>
        <v/>
      </c>
      <c r="K22" s="114" t="str">
        <f ca="1">IF($C22=0,"",OFFSET(INPUTS!K$5,$C22,0))</f>
        <v/>
      </c>
      <c r="L22" s="114" t="str">
        <f ca="1">IF($C22=0,"",OFFSET(INPUTS!L$5,$C22,0))</f>
        <v/>
      </c>
      <c r="M22" s="94" t="str">
        <f ca="1">IF($C22=0,"",OFFSET(INPUTS!M$5,$C22,0))</f>
        <v/>
      </c>
      <c r="N22" s="94" t="str">
        <f ca="1">IF($C22=0,"",OFFSET(INPUTS!N$5,$C22,0))</f>
        <v/>
      </c>
      <c r="O22" s="94" t="str">
        <f ca="1">IF($C22=0,"",OFFSET(INPUTS!O$5,$C22,0))</f>
        <v/>
      </c>
      <c r="P22" s="114" t="str">
        <f ca="1">IF($C22=0,"",OFFSET(INPUTS!P$5,$C22,0))</f>
        <v/>
      </c>
      <c r="Q22" s="141" t="str">
        <f ca="1">IF($C22=0,"",OFFSET(INPUTS!Q$5,$C22,0))</f>
        <v/>
      </c>
      <c r="R22" s="37" t="str">
        <f t="shared" si="10"/>
        <v/>
      </c>
      <c r="S22" s="38">
        <f t="shared" ca="1" si="27"/>
        <v>0</v>
      </c>
      <c r="T22" s="129" t="str">
        <f t="shared" si="28"/>
        <v>none</v>
      </c>
      <c r="U22" s="126" t="str">
        <f t="shared" ca="1" si="29"/>
        <v/>
      </c>
      <c r="V22" s="151" t="str">
        <f t="shared" ca="1" si="12"/>
        <v/>
      </c>
      <c r="W22" s="131" t="str">
        <f t="shared" ca="1" si="2"/>
        <v/>
      </c>
      <c r="X22" s="39" t="str">
        <f t="shared" si="3"/>
        <v>none</v>
      </c>
      <c r="Y22" s="35" t="str">
        <f t="shared" ca="1" si="30"/>
        <v/>
      </c>
      <c r="Z22" s="75" t="str">
        <f t="shared" si="31"/>
        <v/>
      </c>
      <c r="AA22" s="40" t="str">
        <f t="shared" si="32"/>
        <v/>
      </c>
      <c r="AB22" s="171" t="str">
        <f t="shared" si="6"/>
        <v/>
      </c>
      <c r="AC22" s="41" t="str">
        <f t="shared" si="33"/>
        <v/>
      </c>
      <c r="AD22" s="35" t="str">
        <f t="shared" si="34"/>
        <v/>
      </c>
      <c r="AE22" s="42" t="str">
        <f t="shared" si="35"/>
        <v/>
      </c>
      <c r="AF22" s="146" t="str">
        <f t="shared" si="36"/>
        <v/>
      </c>
      <c r="AG22" s="35" t="str">
        <f t="shared" si="37"/>
        <v/>
      </c>
      <c r="AH22" s="118">
        <v>0</v>
      </c>
      <c r="AI22" s="125">
        <f>IF(C$6=0,0,SUMIF('Prepool 2'!$X$5:$X$38,X22,'Prepool 2'!$AH$5:$AH$38)*2)</f>
        <v>0</v>
      </c>
    </row>
    <row r="23" spans="1:35" ht="15.65" hidden="1" x14ac:dyDescent="0.3">
      <c r="A23" s="36" t="str">
        <f>IF(INPUTS!A23=0,"none",INPUTS!A23)</f>
        <v>none</v>
      </c>
      <c r="B23" s="36" t="str">
        <f>IF(INPUTS!B23=0,"none",INPUTS!B23)</f>
        <v>none</v>
      </c>
      <c r="C23" s="109">
        <f>IF(B23="none",0,MATCH(B23,INPUTS!$B$6:$B$69,0))</f>
        <v>0</v>
      </c>
      <c r="D23" s="94" t="str">
        <f ca="1">IF($C23=0,"",OFFSET(INPUTS!D$5,$C23,0))</f>
        <v/>
      </c>
      <c r="E23" s="94" t="str">
        <f ca="1">IF($C23=0,"",OFFSET(INPUTS!E$5,$C23,0))</f>
        <v/>
      </c>
      <c r="F23" s="115" t="str">
        <f ca="1">IF($C23=0,"",OFFSET(INPUTS!F$5,$C23,0))</f>
        <v/>
      </c>
      <c r="G23" s="115" t="str">
        <f ca="1">IF($C23=0,"",OFFSET(INPUTS!G$5,$C23,0))</f>
        <v/>
      </c>
      <c r="H23" s="94" t="str">
        <f ca="1">IF($C23=0,"",OFFSET(INPUTS!H$5,$C23,0))</f>
        <v/>
      </c>
      <c r="I23" s="94" t="str">
        <f ca="1">IF($C23=0,"",OFFSET(INPUTS!I$5,$C23,0))</f>
        <v/>
      </c>
      <c r="J23" s="94" t="str">
        <f ca="1">IF($C23=0,"",OFFSET(INPUTS!J$5,$C23,0))</f>
        <v/>
      </c>
      <c r="K23" s="114" t="str">
        <f ca="1">IF($C23=0,"",OFFSET(INPUTS!K$5,$C23,0))</f>
        <v/>
      </c>
      <c r="L23" s="114" t="str">
        <f ca="1">IF($C23=0,"",OFFSET(INPUTS!L$5,$C23,0))</f>
        <v/>
      </c>
      <c r="M23" s="94" t="str">
        <f ca="1">IF($C23=0,"",OFFSET(INPUTS!M$5,$C23,0))</f>
        <v/>
      </c>
      <c r="N23" s="94" t="str">
        <f ca="1">IF($C23=0,"",OFFSET(INPUTS!N$5,$C23,0))</f>
        <v/>
      </c>
      <c r="O23" s="94" t="str">
        <f ca="1">IF($C23=0,"",OFFSET(INPUTS!O$5,$C23,0))</f>
        <v/>
      </c>
      <c r="P23" s="114" t="str">
        <f ca="1">IF($C23=0,"",OFFSET(INPUTS!P$5,$C23,0))</f>
        <v/>
      </c>
      <c r="Q23" s="141" t="str">
        <f ca="1">IF($C23=0,"",OFFSET(INPUTS!Q$5,$C23,0))</f>
        <v/>
      </c>
      <c r="R23" s="37" t="str">
        <f t="shared" si="10"/>
        <v/>
      </c>
      <c r="S23" s="38">
        <f t="shared" ca="1" si="27"/>
        <v>0</v>
      </c>
      <c r="T23" s="129" t="str">
        <f t="shared" si="28"/>
        <v>none</v>
      </c>
      <c r="U23" s="126" t="str">
        <f t="shared" ca="1" si="29"/>
        <v/>
      </c>
      <c r="V23" s="151" t="str">
        <f t="shared" ca="1" si="12"/>
        <v/>
      </c>
      <c r="W23" s="131" t="str">
        <f t="shared" ca="1" si="2"/>
        <v/>
      </c>
      <c r="X23" s="39" t="str">
        <f t="shared" si="3"/>
        <v>none</v>
      </c>
      <c r="Y23" s="35" t="str">
        <f t="shared" ca="1" si="30"/>
        <v/>
      </c>
      <c r="Z23" s="75" t="str">
        <f t="shared" si="31"/>
        <v/>
      </c>
      <c r="AA23" s="40" t="str">
        <f t="shared" si="32"/>
        <v/>
      </c>
      <c r="AB23" s="171" t="str">
        <f t="shared" si="6"/>
        <v/>
      </c>
      <c r="AC23" s="41" t="str">
        <f t="shared" si="33"/>
        <v/>
      </c>
      <c r="AD23" s="35" t="str">
        <f t="shared" si="34"/>
        <v/>
      </c>
      <c r="AE23" s="42" t="str">
        <f t="shared" si="35"/>
        <v/>
      </c>
      <c r="AF23" s="146" t="str">
        <f t="shared" si="36"/>
        <v/>
      </c>
      <c r="AG23" s="35" t="str">
        <f t="shared" si="37"/>
        <v/>
      </c>
      <c r="AH23" s="118">
        <v>0</v>
      </c>
      <c r="AI23" s="125">
        <f>IF(C$6=0,0,SUMIF('Prepool 2'!$X$5:$X$38,X23,'Prepool 2'!$AH$5:$AH$38)*2)</f>
        <v>0</v>
      </c>
    </row>
    <row r="24" spans="1:35" ht="15.65" hidden="1" x14ac:dyDescent="0.3">
      <c r="A24" s="36" t="str">
        <f>IF(INPUTS!A24=0,"none",INPUTS!A24)</f>
        <v>none</v>
      </c>
      <c r="B24" s="36" t="str">
        <f>IF(INPUTS!B24=0,"none",INPUTS!B24)</f>
        <v>none</v>
      </c>
      <c r="C24" s="109">
        <f>IF(B24="none",0,MATCH(B24,INPUTS!$B$6:$B$69,0))</f>
        <v>0</v>
      </c>
      <c r="D24" s="94" t="str">
        <f ca="1">IF($C24=0,"",OFFSET(INPUTS!D$5,$C24,0))</f>
        <v/>
      </c>
      <c r="E24" s="94" t="str">
        <f ca="1">IF($C24=0,"",OFFSET(INPUTS!E$5,$C24,0))</f>
        <v/>
      </c>
      <c r="F24" s="115" t="str">
        <f ca="1">IF($C24=0,"",OFFSET(INPUTS!F$5,$C24,0))</f>
        <v/>
      </c>
      <c r="G24" s="115" t="str">
        <f ca="1">IF($C24=0,"",OFFSET(INPUTS!G$5,$C24,0))</f>
        <v/>
      </c>
      <c r="H24" s="94" t="str">
        <f ca="1">IF($C24=0,"",OFFSET(INPUTS!H$5,$C24,0))</f>
        <v/>
      </c>
      <c r="I24" s="94" t="str">
        <f ca="1">IF($C24=0,"",OFFSET(INPUTS!I$5,$C24,0))</f>
        <v/>
      </c>
      <c r="J24" s="94" t="str">
        <f ca="1">IF($C24=0,"",OFFSET(INPUTS!J$5,$C24,0))</f>
        <v/>
      </c>
      <c r="K24" s="114" t="str">
        <f ca="1">IF($C24=0,"",OFFSET(INPUTS!K$5,$C24,0))</f>
        <v/>
      </c>
      <c r="L24" s="114" t="str">
        <f ca="1">IF($C24=0,"",OFFSET(INPUTS!L$5,$C24,0))</f>
        <v/>
      </c>
      <c r="M24" s="94" t="str">
        <f ca="1">IF($C24=0,"",OFFSET(INPUTS!M$5,$C24,0))</f>
        <v/>
      </c>
      <c r="N24" s="94" t="str">
        <f ca="1">IF($C24=0,"",OFFSET(INPUTS!N$5,$C24,0))</f>
        <v/>
      </c>
      <c r="O24" s="94" t="str">
        <f ca="1">IF($C24=0,"",OFFSET(INPUTS!O$5,$C24,0))</f>
        <v/>
      </c>
      <c r="P24" s="114" t="str">
        <f ca="1">IF($C24=0,"",OFFSET(INPUTS!P$5,$C24,0))</f>
        <v/>
      </c>
      <c r="Q24" s="141" t="str">
        <f ca="1">IF($C24=0,"",OFFSET(INPUTS!Q$5,$C24,0))</f>
        <v/>
      </c>
      <c r="R24" s="37" t="str">
        <f t="shared" si="10"/>
        <v/>
      </c>
      <c r="S24" s="38">
        <f t="shared" ca="1" si="27"/>
        <v>0</v>
      </c>
      <c r="T24" s="129" t="str">
        <f t="shared" si="28"/>
        <v>none</v>
      </c>
      <c r="U24" s="126" t="str">
        <f t="shared" ca="1" si="29"/>
        <v/>
      </c>
      <c r="V24" s="151" t="str">
        <f t="shared" ca="1" si="12"/>
        <v/>
      </c>
      <c r="W24" s="131" t="str">
        <f t="shared" ca="1" si="2"/>
        <v/>
      </c>
      <c r="X24" s="39" t="str">
        <f t="shared" si="3"/>
        <v>none</v>
      </c>
      <c r="Y24" s="35" t="str">
        <f t="shared" ca="1" si="30"/>
        <v/>
      </c>
      <c r="Z24" s="75" t="str">
        <f t="shared" si="31"/>
        <v/>
      </c>
      <c r="AA24" s="40" t="str">
        <f t="shared" si="32"/>
        <v/>
      </c>
      <c r="AB24" s="171" t="str">
        <f t="shared" si="6"/>
        <v/>
      </c>
      <c r="AC24" s="41" t="str">
        <f t="shared" si="33"/>
        <v/>
      </c>
      <c r="AD24" s="35" t="str">
        <f t="shared" si="34"/>
        <v/>
      </c>
      <c r="AE24" s="42" t="str">
        <f t="shared" si="35"/>
        <v/>
      </c>
      <c r="AF24" s="146" t="str">
        <f t="shared" si="36"/>
        <v/>
      </c>
      <c r="AG24" s="35" t="str">
        <f t="shared" si="37"/>
        <v/>
      </c>
      <c r="AH24" s="118">
        <v>0</v>
      </c>
      <c r="AI24" s="125">
        <f>IF(C$6=0,0,SUMIF('Prepool 2'!$X$5:$X$38,X24,'Prepool 2'!$AH$5:$AH$38)*2)</f>
        <v>0</v>
      </c>
    </row>
    <row r="25" spans="1:35" ht="15.65" hidden="1" x14ac:dyDescent="0.3">
      <c r="A25" s="36" t="str">
        <f>IF(INPUTS!A25=0,"none",INPUTS!A25)</f>
        <v>none</v>
      </c>
      <c r="B25" s="36" t="str">
        <f>IF(INPUTS!B25=0,"none",INPUTS!B25)</f>
        <v>none</v>
      </c>
      <c r="C25" s="109">
        <f>IF(B25="none",0,MATCH(B25,INPUTS!$B$6:$B$69,0))</f>
        <v>0</v>
      </c>
      <c r="D25" s="94" t="str">
        <f ca="1">IF($C25=0,"",OFFSET(INPUTS!D$5,$C25,0))</f>
        <v/>
      </c>
      <c r="E25" s="94" t="str">
        <f ca="1">IF($C25=0,"",OFFSET(INPUTS!E$5,$C25,0))</f>
        <v/>
      </c>
      <c r="F25" s="115" t="str">
        <f ca="1">IF($C25=0,"",OFFSET(INPUTS!F$5,$C25,0))</f>
        <v/>
      </c>
      <c r="G25" s="115" t="str">
        <f ca="1">IF($C25=0,"",OFFSET(INPUTS!G$5,$C25,0))</f>
        <v/>
      </c>
      <c r="H25" s="94" t="str">
        <f ca="1">IF($C25=0,"",OFFSET(INPUTS!H$5,$C25,0))</f>
        <v/>
      </c>
      <c r="I25" s="94" t="str">
        <f ca="1">IF($C25=0,"",OFFSET(INPUTS!I$5,$C25,0))</f>
        <v/>
      </c>
      <c r="J25" s="94" t="str">
        <f ca="1">IF($C25=0,"",OFFSET(INPUTS!J$5,$C25,0))</f>
        <v/>
      </c>
      <c r="K25" s="114" t="str">
        <f ca="1">IF($C25=0,"",OFFSET(INPUTS!K$5,$C25,0))</f>
        <v/>
      </c>
      <c r="L25" s="114" t="str">
        <f ca="1">IF($C25=0,"",OFFSET(INPUTS!L$5,$C25,0))</f>
        <v/>
      </c>
      <c r="M25" s="94" t="str">
        <f ca="1">IF($C25=0,"",OFFSET(INPUTS!M$5,$C25,0))</f>
        <v/>
      </c>
      <c r="N25" s="94" t="str">
        <f ca="1">IF($C25=0,"",OFFSET(INPUTS!N$5,$C25,0))</f>
        <v/>
      </c>
      <c r="O25" s="94" t="str">
        <f ca="1">IF($C25=0,"",OFFSET(INPUTS!O$5,$C25,0))</f>
        <v/>
      </c>
      <c r="P25" s="114" t="str">
        <f ca="1">IF($C25=0,"",OFFSET(INPUTS!P$5,$C25,0))</f>
        <v/>
      </c>
      <c r="Q25" s="141" t="str">
        <f ca="1">IF($C25=0,"",OFFSET(INPUTS!Q$5,$C25,0))</f>
        <v/>
      </c>
      <c r="R25" s="37" t="str">
        <f t="shared" si="10"/>
        <v/>
      </c>
      <c r="S25" s="38">
        <f t="shared" ca="1" si="27"/>
        <v>0</v>
      </c>
      <c r="T25" s="129" t="str">
        <f t="shared" si="28"/>
        <v>none</v>
      </c>
      <c r="U25" s="126" t="str">
        <f t="shared" ca="1" si="29"/>
        <v/>
      </c>
      <c r="V25" s="151" t="str">
        <f t="shared" ca="1" si="12"/>
        <v/>
      </c>
      <c r="W25" s="131" t="str">
        <f t="shared" ca="1" si="2"/>
        <v/>
      </c>
      <c r="X25" s="39" t="str">
        <f t="shared" si="3"/>
        <v>none</v>
      </c>
      <c r="Y25" s="35" t="str">
        <f t="shared" ca="1" si="30"/>
        <v/>
      </c>
      <c r="Z25" s="75" t="str">
        <f t="shared" si="31"/>
        <v/>
      </c>
      <c r="AA25" s="40" t="str">
        <f t="shared" si="32"/>
        <v/>
      </c>
      <c r="AB25" s="171" t="str">
        <f t="shared" si="6"/>
        <v/>
      </c>
      <c r="AC25" s="41" t="str">
        <f t="shared" si="33"/>
        <v/>
      </c>
      <c r="AD25" s="35" t="str">
        <f t="shared" si="34"/>
        <v/>
      </c>
      <c r="AE25" s="42" t="str">
        <f t="shared" si="35"/>
        <v/>
      </c>
      <c r="AF25" s="146" t="str">
        <f t="shared" si="36"/>
        <v/>
      </c>
      <c r="AG25" s="35" t="str">
        <f t="shared" si="37"/>
        <v/>
      </c>
      <c r="AH25" s="118">
        <v>0</v>
      </c>
      <c r="AI25" s="125">
        <f>IF(C$6=0,0,SUMIF('Prepool 2'!$X$5:$X$38,X25,'Prepool 2'!$AH$5:$AH$38)*2)</f>
        <v>0</v>
      </c>
    </row>
    <row r="26" spans="1:35" ht="15.65" hidden="1" x14ac:dyDescent="0.3">
      <c r="A26" s="36" t="str">
        <f>IF(INPUTS!A26=0,"none",INPUTS!A26)</f>
        <v>none</v>
      </c>
      <c r="B26" s="36" t="str">
        <f>IF(INPUTS!B26=0,"none",INPUTS!B26)</f>
        <v>none</v>
      </c>
      <c r="C26" s="109">
        <f>IF(B26="none",0,MATCH(B26,INPUTS!$B$6:$B$69,0))</f>
        <v>0</v>
      </c>
      <c r="D26" s="94" t="str">
        <f ca="1">IF($C26=0,"",OFFSET(INPUTS!D$5,$C26,0))</f>
        <v/>
      </c>
      <c r="E26" s="94" t="str">
        <f ca="1">IF($C26=0,"",OFFSET(INPUTS!E$5,$C26,0))</f>
        <v/>
      </c>
      <c r="F26" s="115" t="str">
        <f ca="1">IF($C26=0,"",OFFSET(INPUTS!F$5,$C26,0))</f>
        <v/>
      </c>
      <c r="G26" s="115" t="str">
        <f ca="1">IF($C26=0,"",OFFSET(INPUTS!G$5,$C26,0))</f>
        <v/>
      </c>
      <c r="H26" s="94" t="str">
        <f ca="1">IF($C26=0,"",OFFSET(INPUTS!H$5,$C26,0))</f>
        <v/>
      </c>
      <c r="I26" s="94" t="str">
        <f ca="1">IF($C26=0,"",OFFSET(INPUTS!I$5,$C26,0))</f>
        <v/>
      </c>
      <c r="J26" s="94" t="str">
        <f ca="1">IF($C26=0,"",OFFSET(INPUTS!J$5,$C26,0))</f>
        <v/>
      </c>
      <c r="K26" s="114" t="str">
        <f ca="1">IF($C26=0,"",OFFSET(INPUTS!K$5,$C26,0))</f>
        <v/>
      </c>
      <c r="L26" s="114" t="str">
        <f ca="1">IF($C26=0,"",OFFSET(INPUTS!L$5,$C26,0))</f>
        <v/>
      </c>
      <c r="M26" s="94" t="str">
        <f ca="1">IF($C26=0,"",OFFSET(INPUTS!M$5,$C26,0))</f>
        <v/>
      </c>
      <c r="N26" s="94" t="str">
        <f ca="1">IF($C26=0,"",OFFSET(INPUTS!N$5,$C26,0))</f>
        <v/>
      </c>
      <c r="O26" s="94" t="str">
        <f ca="1">IF($C26=0,"",OFFSET(INPUTS!O$5,$C26,0))</f>
        <v/>
      </c>
      <c r="P26" s="114" t="str">
        <f ca="1">IF($C26=0,"",OFFSET(INPUTS!P$5,$C26,0))</f>
        <v/>
      </c>
      <c r="Q26" s="141" t="str">
        <f ca="1">IF($C26=0,"",OFFSET(INPUTS!Q$5,$C26,0))</f>
        <v/>
      </c>
      <c r="R26" s="37" t="str">
        <f t="shared" si="10"/>
        <v/>
      </c>
      <c r="S26" s="38">
        <f t="shared" ca="1" si="27"/>
        <v>0</v>
      </c>
      <c r="T26" s="129" t="str">
        <f t="shared" si="28"/>
        <v>none</v>
      </c>
      <c r="U26" s="126" t="str">
        <f t="shared" ca="1" si="29"/>
        <v/>
      </c>
      <c r="V26" s="151" t="str">
        <f t="shared" ca="1" si="12"/>
        <v/>
      </c>
      <c r="W26" s="131" t="str">
        <f t="shared" ca="1" si="2"/>
        <v/>
      </c>
      <c r="X26" s="39" t="str">
        <f t="shared" si="3"/>
        <v>none</v>
      </c>
      <c r="Y26" s="35" t="str">
        <f t="shared" ca="1" si="30"/>
        <v/>
      </c>
      <c r="Z26" s="75" t="str">
        <f t="shared" si="31"/>
        <v/>
      </c>
      <c r="AA26" s="40" t="str">
        <f t="shared" si="32"/>
        <v/>
      </c>
      <c r="AB26" s="171" t="str">
        <f t="shared" si="6"/>
        <v/>
      </c>
      <c r="AC26" s="41" t="str">
        <f t="shared" si="33"/>
        <v/>
      </c>
      <c r="AD26" s="35" t="str">
        <f t="shared" si="34"/>
        <v/>
      </c>
      <c r="AE26" s="42" t="str">
        <f t="shared" si="35"/>
        <v/>
      </c>
      <c r="AF26" s="146" t="str">
        <f t="shared" si="36"/>
        <v/>
      </c>
      <c r="AG26" s="35" t="str">
        <f t="shared" si="37"/>
        <v/>
      </c>
      <c r="AH26" s="118">
        <v>0</v>
      </c>
      <c r="AI26" s="125">
        <f>IF(C$6=0,0,SUMIF('Prepool 2'!$X$5:$X$38,X26,'Prepool 2'!$AH$5:$AH$38)*2)</f>
        <v>0</v>
      </c>
    </row>
    <row r="27" spans="1:35" ht="15.65" hidden="1" x14ac:dyDescent="0.3">
      <c r="A27" s="36" t="str">
        <f>IF(INPUTS!A27=0,"none",INPUTS!A27)</f>
        <v>none</v>
      </c>
      <c r="B27" s="36" t="str">
        <f>IF(INPUTS!B27=0,"none",INPUTS!B27)</f>
        <v>none</v>
      </c>
      <c r="C27" s="109">
        <f>IF(B27="none",0,MATCH(B27,INPUTS!$B$6:$B$69,0))</f>
        <v>0</v>
      </c>
      <c r="D27" s="94" t="str">
        <f ca="1">IF($C27=0,"",OFFSET(INPUTS!D$5,$C27,0))</f>
        <v/>
      </c>
      <c r="E27" s="94" t="str">
        <f ca="1">IF($C27=0,"",OFFSET(INPUTS!E$5,$C27,0))</f>
        <v/>
      </c>
      <c r="F27" s="115" t="str">
        <f ca="1">IF($C27=0,"",OFFSET(INPUTS!F$5,$C27,0))</f>
        <v/>
      </c>
      <c r="G27" s="115" t="str">
        <f ca="1">IF($C27=0,"",OFFSET(INPUTS!G$5,$C27,0))</f>
        <v/>
      </c>
      <c r="H27" s="94" t="str">
        <f ca="1">IF($C27=0,"",OFFSET(INPUTS!H$5,$C27,0))</f>
        <v/>
      </c>
      <c r="I27" s="94" t="str">
        <f ca="1">IF($C27=0,"",OFFSET(INPUTS!I$5,$C27,0))</f>
        <v/>
      </c>
      <c r="J27" s="94" t="str">
        <f ca="1">IF($C27=0,"",OFFSET(INPUTS!J$5,$C27,0))</f>
        <v/>
      </c>
      <c r="K27" s="114" t="str">
        <f ca="1">IF($C27=0,"",OFFSET(INPUTS!K$5,$C27,0))</f>
        <v/>
      </c>
      <c r="L27" s="114" t="str">
        <f ca="1">IF($C27=0,"",OFFSET(INPUTS!L$5,$C27,0))</f>
        <v/>
      </c>
      <c r="M27" s="94" t="str">
        <f ca="1">IF($C27=0,"",OFFSET(INPUTS!M$5,$C27,0))</f>
        <v/>
      </c>
      <c r="N27" s="94" t="str">
        <f ca="1">IF($C27=0,"",OFFSET(INPUTS!N$5,$C27,0))</f>
        <v/>
      </c>
      <c r="O27" s="94" t="str">
        <f ca="1">IF($C27=0,"",OFFSET(INPUTS!O$5,$C27,0))</f>
        <v/>
      </c>
      <c r="P27" s="114" t="str">
        <f ca="1">IF($C27=0,"",OFFSET(INPUTS!P$5,$C27,0))</f>
        <v/>
      </c>
      <c r="Q27" s="141" t="str">
        <f ca="1">IF($C27=0,"",OFFSET(INPUTS!Q$5,$C27,0))</f>
        <v/>
      </c>
      <c r="R27" s="37" t="str">
        <f t="shared" si="10"/>
        <v/>
      </c>
      <c r="S27" s="38">
        <f t="shared" ca="1" si="27"/>
        <v>0</v>
      </c>
      <c r="T27" s="129" t="str">
        <f t="shared" si="28"/>
        <v>none</v>
      </c>
      <c r="U27" s="126" t="str">
        <f t="shared" ca="1" si="29"/>
        <v/>
      </c>
      <c r="V27" s="151" t="str">
        <f t="shared" ca="1" si="12"/>
        <v/>
      </c>
      <c r="W27" s="131" t="str">
        <f t="shared" ca="1" si="2"/>
        <v/>
      </c>
      <c r="X27" s="39" t="str">
        <f t="shared" si="3"/>
        <v>none</v>
      </c>
      <c r="Y27" s="35" t="str">
        <f t="shared" ca="1" si="30"/>
        <v/>
      </c>
      <c r="Z27" s="75" t="str">
        <f t="shared" si="31"/>
        <v/>
      </c>
      <c r="AA27" s="40" t="str">
        <f t="shared" si="32"/>
        <v/>
      </c>
      <c r="AB27" s="171" t="str">
        <f t="shared" si="6"/>
        <v/>
      </c>
      <c r="AC27" s="41" t="str">
        <f t="shared" si="33"/>
        <v/>
      </c>
      <c r="AD27" s="35" t="str">
        <f t="shared" si="34"/>
        <v/>
      </c>
      <c r="AE27" s="42" t="str">
        <f t="shared" si="35"/>
        <v/>
      </c>
      <c r="AF27" s="146" t="str">
        <f t="shared" si="36"/>
        <v/>
      </c>
      <c r="AG27" s="35" t="str">
        <f t="shared" si="37"/>
        <v/>
      </c>
      <c r="AH27" s="118">
        <v>0</v>
      </c>
      <c r="AI27" s="125">
        <f>IF(C$6=0,0,SUMIF('Prepool 2'!$X$5:$X$38,X27,'Prepool 2'!$AH$5:$AH$38)*2)</f>
        <v>0</v>
      </c>
    </row>
    <row r="28" spans="1:35" ht="15.65" hidden="1" x14ac:dyDescent="0.3">
      <c r="A28" s="36" t="str">
        <f>IF(INPUTS!A28=0,"none",INPUTS!A28)</f>
        <v>none</v>
      </c>
      <c r="B28" s="36" t="str">
        <f>IF(INPUTS!B28=0,"none",INPUTS!B28)</f>
        <v>none</v>
      </c>
      <c r="C28" s="109">
        <f>IF(B28="none",0,MATCH(B28,INPUTS!$B$6:$B$69,0))</f>
        <v>0</v>
      </c>
      <c r="D28" s="94" t="str">
        <f ca="1">IF($C28=0,"",OFFSET(INPUTS!D$5,$C28,0))</f>
        <v/>
      </c>
      <c r="E28" s="94" t="str">
        <f ca="1">IF($C28=0,"",OFFSET(INPUTS!E$5,$C28,0))</f>
        <v/>
      </c>
      <c r="F28" s="115" t="str">
        <f ca="1">IF($C28=0,"",OFFSET(INPUTS!F$5,$C28,0))</f>
        <v/>
      </c>
      <c r="G28" s="115" t="str">
        <f ca="1">IF($C28=0,"",OFFSET(INPUTS!G$5,$C28,0))</f>
        <v/>
      </c>
      <c r="H28" s="94" t="str">
        <f ca="1">IF($C28=0,"",OFFSET(INPUTS!H$5,$C28,0))</f>
        <v/>
      </c>
      <c r="I28" s="94" t="str">
        <f ca="1">IF($C28=0,"",OFFSET(INPUTS!I$5,$C28,0))</f>
        <v/>
      </c>
      <c r="J28" s="94" t="str">
        <f ca="1">IF($C28=0,"",OFFSET(INPUTS!J$5,$C28,0))</f>
        <v/>
      </c>
      <c r="K28" s="114" t="str">
        <f ca="1">IF($C28=0,"",OFFSET(INPUTS!K$5,$C28,0))</f>
        <v/>
      </c>
      <c r="L28" s="114" t="str">
        <f ca="1">IF($C28=0,"",OFFSET(INPUTS!L$5,$C28,0))</f>
        <v/>
      </c>
      <c r="M28" s="94" t="str">
        <f ca="1">IF($C28=0,"",OFFSET(INPUTS!M$5,$C28,0))</f>
        <v/>
      </c>
      <c r="N28" s="94" t="str">
        <f ca="1">IF($C28=0,"",OFFSET(INPUTS!N$5,$C28,0))</f>
        <v/>
      </c>
      <c r="O28" s="94" t="str">
        <f ca="1">IF($C28=0,"",OFFSET(INPUTS!O$5,$C28,0))</f>
        <v/>
      </c>
      <c r="P28" s="114" t="str">
        <f ca="1">IF($C28=0,"",OFFSET(INPUTS!P$5,$C28,0))</f>
        <v/>
      </c>
      <c r="Q28" s="141" t="str">
        <f ca="1">IF($C28=0,"",OFFSET(INPUTS!Q$5,$C28,0))</f>
        <v/>
      </c>
      <c r="R28" s="37" t="str">
        <f t="shared" si="10"/>
        <v/>
      </c>
      <c r="S28" s="38">
        <f t="shared" ca="1" si="27"/>
        <v>0</v>
      </c>
      <c r="T28" s="129" t="str">
        <f t="shared" si="28"/>
        <v>none</v>
      </c>
      <c r="U28" s="126" t="str">
        <f t="shared" ca="1" si="29"/>
        <v/>
      </c>
      <c r="V28" s="151" t="str">
        <f t="shared" ca="1" si="12"/>
        <v/>
      </c>
      <c r="W28" s="131" t="str">
        <f t="shared" ca="1" si="2"/>
        <v/>
      </c>
      <c r="X28" s="39" t="str">
        <f t="shared" si="3"/>
        <v>none</v>
      </c>
      <c r="Y28" s="35" t="str">
        <f t="shared" ca="1" si="30"/>
        <v/>
      </c>
      <c r="Z28" s="75" t="str">
        <f t="shared" si="31"/>
        <v/>
      </c>
      <c r="AA28" s="40" t="str">
        <f t="shared" si="32"/>
        <v/>
      </c>
      <c r="AB28" s="171" t="str">
        <f t="shared" si="6"/>
        <v/>
      </c>
      <c r="AC28" s="41" t="str">
        <f t="shared" si="33"/>
        <v/>
      </c>
      <c r="AD28" s="35" t="str">
        <f t="shared" si="34"/>
        <v/>
      </c>
      <c r="AE28" s="42" t="str">
        <f t="shared" si="35"/>
        <v/>
      </c>
      <c r="AF28" s="146" t="str">
        <f t="shared" si="36"/>
        <v/>
      </c>
      <c r="AG28" s="35" t="str">
        <f t="shared" si="37"/>
        <v/>
      </c>
      <c r="AH28" s="118">
        <v>0</v>
      </c>
      <c r="AI28" s="125">
        <f>IF(C$6=0,0,SUMIF('Prepool 2'!$X$5:$X$38,X28,'Prepool 2'!$AH$5:$AH$38)*2)</f>
        <v>0</v>
      </c>
    </row>
    <row r="29" spans="1:35" ht="15.65" hidden="1" x14ac:dyDescent="0.3">
      <c r="A29" s="36" t="str">
        <f>IF(INPUTS!A29=0,"none",INPUTS!A29)</f>
        <v>none</v>
      </c>
      <c r="B29" s="36" t="str">
        <f>IF(INPUTS!B29=0,"none",INPUTS!B29)</f>
        <v>none</v>
      </c>
      <c r="C29" s="109">
        <f>IF(B29="none",0,MATCH(B29,INPUTS!$B$6:$B$69,0))</f>
        <v>0</v>
      </c>
      <c r="D29" s="94" t="str">
        <f ca="1">IF($C29=0,"",OFFSET(INPUTS!D$5,$C29,0))</f>
        <v/>
      </c>
      <c r="E29" s="94" t="str">
        <f ca="1">IF($C29=0,"",OFFSET(INPUTS!E$5,$C29,0))</f>
        <v/>
      </c>
      <c r="F29" s="115" t="str">
        <f ca="1">IF($C29=0,"",OFFSET(INPUTS!F$5,$C29,0))</f>
        <v/>
      </c>
      <c r="G29" s="115" t="str">
        <f ca="1">IF($C29=0,"",OFFSET(INPUTS!G$5,$C29,0))</f>
        <v/>
      </c>
      <c r="H29" s="94" t="str">
        <f ca="1">IF($C29=0,"",OFFSET(INPUTS!H$5,$C29,0))</f>
        <v/>
      </c>
      <c r="I29" s="94" t="str">
        <f ca="1">IF($C29=0,"",OFFSET(INPUTS!I$5,$C29,0))</f>
        <v/>
      </c>
      <c r="J29" s="94" t="str">
        <f ca="1">IF($C29=0,"",OFFSET(INPUTS!J$5,$C29,0))</f>
        <v/>
      </c>
      <c r="K29" s="114" t="str">
        <f ca="1">IF($C29=0,"",OFFSET(INPUTS!K$5,$C29,0))</f>
        <v/>
      </c>
      <c r="L29" s="114" t="str">
        <f ca="1">IF($C29=0,"",OFFSET(INPUTS!L$5,$C29,0))</f>
        <v/>
      </c>
      <c r="M29" s="94" t="str">
        <f ca="1">IF($C29=0,"",OFFSET(INPUTS!M$5,$C29,0))</f>
        <v/>
      </c>
      <c r="N29" s="94" t="str">
        <f ca="1">IF($C29=0,"",OFFSET(INPUTS!N$5,$C29,0))</f>
        <v/>
      </c>
      <c r="O29" s="94" t="str">
        <f ca="1">IF($C29=0,"",OFFSET(INPUTS!O$5,$C29,0))</f>
        <v/>
      </c>
      <c r="P29" s="114" t="str">
        <f ca="1">IF($C29=0,"",OFFSET(INPUTS!P$5,$C29,0))</f>
        <v/>
      </c>
      <c r="Q29" s="141" t="str">
        <f ca="1">IF($C29=0,"",OFFSET(INPUTS!Q$5,$C29,0))</f>
        <v/>
      </c>
      <c r="R29" s="37" t="str">
        <f t="shared" si="10"/>
        <v/>
      </c>
      <c r="S29" s="38">
        <f t="shared" ca="1" si="27"/>
        <v>0</v>
      </c>
      <c r="T29" s="129" t="str">
        <f t="shared" si="28"/>
        <v>none</v>
      </c>
      <c r="U29" s="126" t="str">
        <f t="shared" ca="1" si="29"/>
        <v/>
      </c>
      <c r="V29" s="151" t="str">
        <f t="shared" ca="1" si="12"/>
        <v/>
      </c>
      <c r="W29" s="131" t="str">
        <f t="shared" ca="1" si="2"/>
        <v/>
      </c>
      <c r="X29" s="39" t="str">
        <f t="shared" si="3"/>
        <v>none</v>
      </c>
      <c r="Y29" s="35" t="str">
        <f t="shared" ca="1" si="30"/>
        <v/>
      </c>
      <c r="Z29" s="75" t="str">
        <f t="shared" si="31"/>
        <v/>
      </c>
      <c r="AA29" s="40" t="str">
        <f t="shared" si="32"/>
        <v/>
      </c>
      <c r="AB29" s="171" t="str">
        <f t="shared" si="6"/>
        <v/>
      </c>
      <c r="AC29" s="41" t="str">
        <f t="shared" si="33"/>
        <v/>
      </c>
      <c r="AD29" s="35" t="str">
        <f t="shared" si="34"/>
        <v/>
      </c>
      <c r="AE29" s="42" t="str">
        <f t="shared" si="35"/>
        <v/>
      </c>
      <c r="AF29" s="146" t="str">
        <f t="shared" si="36"/>
        <v/>
      </c>
      <c r="AG29" s="35" t="str">
        <f t="shared" si="37"/>
        <v/>
      </c>
      <c r="AH29" s="118">
        <v>0</v>
      </c>
      <c r="AI29" s="125">
        <f>IF(C$6=0,0,SUMIF('Prepool 2'!$X$5:$X$38,X29,'Prepool 2'!$AH$5:$AH$38)*2)</f>
        <v>0</v>
      </c>
    </row>
    <row r="30" spans="1:35" ht="15.65" hidden="1" x14ac:dyDescent="0.3">
      <c r="A30" s="36" t="str">
        <f>IF(INPUTS!A30=0,"none",INPUTS!A30)</f>
        <v>none</v>
      </c>
      <c r="B30" s="36" t="str">
        <f>IF(INPUTS!B30=0,"none",INPUTS!B30)</f>
        <v>none</v>
      </c>
      <c r="C30" s="109">
        <f>IF(B30="none",0,MATCH(B30,INPUTS!$B$6:$B$69,0))</f>
        <v>0</v>
      </c>
      <c r="D30" s="94" t="str">
        <f ca="1">IF($C30=0,"",OFFSET(INPUTS!D$5,$C30,0))</f>
        <v/>
      </c>
      <c r="E30" s="94" t="str">
        <f ca="1">IF($C30=0,"",OFFSET(INPUTS!E$5,$C30,0))</f>
        <v/>
      </c>
      <c r="F30" s="115" t="str">
        <f ca="1">IF($C30=0,"",OFFSET(INPUTS!F$5,$C30,0))</f>
        <v/>
      </c>
      <c r="G30" s="115" t="str">
        <f ca="1">IF($C30=0,"",OFFSET(INPUTS!G$5,$C30,0))</f>
        <v/>
      </c>
      <c r="H30" s="94" t="str">
        <f ca="1">IF($C30=0,"",OFFSET(INPUTS!H$5,$C30,0))</f>
        <v/>
      </c>
      <c r="I30" s="94" t="str">
        <f ca="1">IF($C30=0,"",OFFSET(INPUTS!I$5,$C30,0))</f>
        <v/>
      </c>
      <c r="J30" s="94" t="str">
        <f ca="1">IF($C30=0,"",OFFSET(INPUTS!J$5,$C30,0))</f>
        <v/>
      </c>
      <c r="K30" s="114" t="str">
        <f ca="1">IF($C30=0,"",OFFSET(INPUTS!K$5,$C30,0))</f>
        <v/>
      </c>
      <c r="L30" s="114" t="str">
        <f ca="1">IF($C30=0,"",OFFSET(INPUTS!L$5,$C30,0))</f>
        <v/>
      </c>
      <c r="M30" s="94" t="str">
        <f ca="1">IF($C30=0,"",OFFSET(INPUTS!M$5,$C30,0))</f>
        <v/>
      </c>
      <c r="N30" s="94" t="str">
        <f ca="1">IF($C30=0,"",OFFSET(INPUTS!N$5,$C30,0))</f>
        <v/>
      </c>
      <c r="O30" s="94" t="str">
        <f ca="1">IF($C30=0,"",OFFSET(INPUTS!O$5,$C30,0))</f>
        <v/>
      </c>
      <c r="P30" s="114" t="str">
        <f ca="1">IF($C30=0,"",OFFSET(INPUTS!P$5,$C30,0))</f>
        <v/>
      </c>
      <c r="Q30" s="141" t="str">
        <f ca="1">IF($C30=0,"",OFFSET(INPUTS!Q$5,$C30,0))</f>
        <v/>
      </c>
      <c r="R30" s="37" t="str">
        <f t="shared" si="10"/>
        <v/>
      </c>
      <c r="S30" s="38">
        <f t="shared" ca="1" si="27"/>
        <v>0</v>
      </c>
      <c r="T30" s="129" t="str">
        <f t="shared" si="28"/>
        <v>none</v>
      </c>
      <c r="U30" s="126" t="str">
        <f t="shared" ca="1" si="29"/>
        <v/>
      </c>
      <c r="V30" s="151" t="str">
        <f t="shared" ca="1" si="12"/>
        <v/>
      </c>
      <c r="W30" s="131" t="str">
        <f t="shared" ca="1" si="2"/>
        <v/>
      </c>
      <c r="X30" s="39" t="str">
        <f t="shared" si="3"/>
        <v>none</v>
      </c>
      <c r="Y30" s="35" t="str">
        <f t="shared" ca="1" si="30"/>
        <v/>
      </c>
      <c r="Z30" s="75" t="str">
        <f t="shared" si="31"/>
        <v/>
      </c>
      <c r="AA30" s="40" t="str">
        <f t="shared" si="32"/>
        <v/>
      </c>
      <c r="AB30" s="171" t="str">
        <f t="shared" si="6"/>
        <v/>
      </c>
      <c r="AC30" s="41" t="str">
        <f t="shared" si="33"/>
        <v/>
      </c>
      <c r="AD30" s="35" t="str">
        <f t="shared" si="34"/>
        <v/>
      </c>
      <c r="AE30" s="42" t="str">
        <f t="shared" si="35"/>
        <v/>
      </c>
      <c r="AF30" s="146" t="str">
        <f t="shared" si="36"/>
        <v/>
      </c>
      <c r="AG30" s="35" t="str">
        <f t="shared" si="37"/>
        <v/>
      </c>
      <c r="AH30" s="118">
        <v>0</v>
      </c>
      <c r="AI30" s="125">
        <f>IF(C$6=0,0,SUMIF('Prepool 2'!$X$5:$X$38,X30,'Prepool 2'!$AH$5:$AH$38)*2)</f>
        <v>0</v>
      </c>
    </row>
    <row r="31" spans="1:35" ht="15.65" hidden="1" x14ac:dyDescent="0.3">
      <c r="A31" s="36" t="str">
        <f>IF(INPUTS!A31=0,"none",INPUTS!A31)</f>
        <v>none</v>
      </c>
      <c r="B31" s="36" t="str">
        <f>IF(INPUTS!B31=0,"none",INPUTS!B31)</f>
        <v>none</v>
      </c>
      <c r="C31" s="109">
        <f>IF(B31="none",0,MATCH(B31,INPUTS!$B$6:$B$69,0))</f>
        <v>0</v>
      </c>
      <c r="D31" s="94" t="str">
        <f ca="1">IF($C31=0,"",OFFSET(INPUTS!D$5,$C31,0))</f>
        <v/>
      </c>
      <c r="E31" s="94" t="str">
        <f ca="1">IF($C31=0,"",OFFSET(INPUTS!E$5,$C31,0))</f>
        <v/>
      </c>
      <c r="F31" s="115" t="str">
        <f ca="1">IF($C31=0,"",OFFSET(INPUTS!F$5,$C31,0))</f>
        <v/>
      </c>
      <c r="G31" s="115" t="str">
        <f ca="1">IF($C31=0,"",OFFSET(INPUTS!G$5,$C31,0))</f>
        <v/>
      </c>
      <c r="H31" s="94" t="str">
        <f ca="1">IF($C31=0,"",OFFSET(INPUTS!H$5,$C31,0))</f>
        <v/>
      </c>
      <c r="I31" s="94" t="str">
        <f ca="1">IF($C31=0,"",OFFSET(INPUTS!I$5,$C31,0))</f>
        <v/>
      </c>
      <c r="J31" s="94" t="str">
        <f ca="1">IF($C31=0,"",OFFSET(INPUTS!J$5,$C31,0))</f>
        <v/>
      </c>
      <c r="K31" s="114" t="str">
        <f ca="1">IF($C31=0,"",OFFSET(INPUTS!K$5,$C31,0))</f>
        <v/>
      </c>
      <c r="L31" s="114" t="str">
        <f ca="1">IF($C31=0,"",OFFSET(INPUTS!L$5,$C31,0))</f>
        <v/>
      </c>
      <c r="M31" s="94" t="str">
        <f ca="1">IF($C31=0,"",OFFSET(INPUTS!M$5,$C31,0))</f>
        <v/>
      </c>
      <c r="N31" s="94" t="str">
        <f ca="1">IF($C31=0,"",OFFSET(INPUTS!N$5,$C31,0))</f>
        <v/>
      </c>
      <c r="O31" s="94" t="str">
        <f ca="1">IF($C31=0,"",OFFSET(INPUTS!O$5,$C31,0))</f>
        <v/>
      </c>
      <c r="P31" s="114" t="str">
        <f ca="1">IF($C31=0,"",OFFSET(INPUTS!P$5,$C31,0))</f>
        <v/>
      </c>
      <c r="Q31" s="141" t="str">
        <f ca="1">IF($C31=0,"",OFFSET(INPUTS!Q$5,$C31,0))</f>
        <v/>
      </c>
      <c r="R31" s="37" t="str">
        <f t="shared" si="10"/>
        <v/>
      </c>
      <c r="S31" s="38">
        <f t="shared" ref="S31:S34" ca="1" si="38">SUM(J31,R31)</f>
        <v>0</v>
      </c>
      <c r="T31" s="129" t="str">
        <f t="shared" ref="T31:T34" si="39">IF(A31=0,"",A31)</f>
        <v>none</v>
      </c>
      <c r="U31" s="126" t="str">
        <f t="shared" ref="U31:U34" ca="1" si="40">IF(M31=0,"",M31)</f>
        <v/>
      </c>
      <c r="V31" s="151" t="str">
        <f t="shared" ref="V31:V34" ca="1" si="41">IF(F31=0,"",F31&amp;IF(OR(G31="",G31=0),"","+"&amp;G31))</f>
        <v/>
      </c>
      <c r="W31" s="131" t="str">
        <f t="shared" ca="1" si="2"/>
        <v/>
      </c>
      <c r="X31" s="39" t="str">
        <f t="shared" si="3"/>
        <v>none</v>
      </c>
      <c r="Y31" s="35" t="str">
        <f t="shared" ref="Y31:Y34" ca="1" si="42">IF(N31=0,"",N31)</f>
        <v/>
      </c>
      <c r="Z31" s="75" t="str">
        <f t="shared" ref="Z31:Z34" si="43">IF($AH31=0,"",IF($R31="","",IF(AF31&lt;0.2,10,IF(AF31&lt;0.795,5,""))))</f>
        <v/>
      </c>
      <c r="AA31" s="40" t="str">
        <f t="shared" ref="AA31:AA34" si="44">IF($AH31=0,"",IF($R31="","",AF31*IF($Z31="",1,$Z31)))</f>
        <v/>
      </c>
      <c r="AB31" s="171" t="str">
        <f t="shared" si="6"/>
        <v/>
      </c>
      <c r="AC31" s="41" t="str">
        <f t="shared" ref="AC31:AC34" si="45">IF($AH31=0,"",IF($R31="","",R31*$AA31/IF($Z31="",1,$Z31)))</f>
        <v/>
      </c>
      <c r="AD31" s="35" t="str">
        <f t="shared" ref="AD31:AD34" si="46">IF($AH31=0,"",IF($R31="","",S31*$AA31/IF($Z31="",1,$Z31)))</f>
        <v/>
      </c>
      <c r="AE31" s="42" t="str">
        <f t="shared" ref="AE31:AE34" si="47">IF($AH31=0,"",IF($R31="","",D31*$AA31/IF($Z31="",1,$Z31)))</f>
        <v/>
      </c>
      <c r="AF31" s="146" t="str">
        <f t="shared" ref="AF31:AF34" si="48">IF(R31="","",$AA$4/R31*Q31)</f>
        <v/>
      </c>
      <c r="AG31" s="35" t="str">
        <f t="shared" ref="AG31:AG34" si="49">IF($AH31=0,"",Q31)</f>
        <v/>
      </c>
      <c r="AH31" s="118">
        <v>0</v>
      </c>
      <c r="AI31" s="125">
        <f>IF(C$6=0,0,SUMIF('Prepool 2'!$X$5:$X$38,X31,'Prepool 2'!$AH$5:$AH$38)*2)</f>
        <v>0</v>
      </c>
    </row>
    <row r="32" spans="1:35" ht="15.65" hidden="1" x14ac:dyDescent="0.3">
      <c r="A32" s="36" t="str">
        <f>IF(INPUTS!A32=0,"none",INPUTS!A32)</f>
        <v>none</v>
      </c>
      <c r="B32" s="36" t="str">
        <f>IF(INPUTS!B32=0,"none",INPUTS!B32)</f>
        <v>none</v>
      </c>
      <c r="C32" s="109">
        <f>IF(B32="none",0,MATCH(B32,INPUTS!$B$6:$B$69,0))</f>
        <v>0</v>
      </c>
      <c r="D32" s="94" t="str">
        <f ca="1">IF($C32=0,"",OFFSET(INPUTS!D$5,$C32,0))</f>
        <v/>
      </c>
      <c r="E32" s="94" t="str">
        <f ca="1">IF($C32=0,"",OFFSET(INPUTS!E$5,$C32,0))</f>
        <v/>
      </c>
      <c r="F32" s="115" t="str">
        <f ca="1">IF($C32=0,"",OFFSET(INPUTS!F$5,$C32,0))</f>
        <v/>
      </c>
      <c r="G32" s="115" t="str">
        <f ca="1">IF($C32=0,"",OFFSET(INPUTS!G$5,$C32,0))</f>
        <v/>
      </c>
      <c r="H32" s="94" t="str">
        <f ca="1">IF($C32=0,"",OFFSET(INPUTS!H$5,$C32,0))</f>
        <v/>
      </c>
      <c r="I32" s="94" t="str">
        <f ca="1">IF($C32=0,"",OFFSET(INPUTS!I$5,$C32,0))</f>
        <v/>
      </c>
      <c r="J32" s="94" t="str">
        <f ca="1">IF($C32=0,"",OFFSET(INPUTS!J$5,$C32,0))</f>
        <v/>
      </c>
      <c r="K32" s="114" t="str">
        <f ca="1">IF($C32=0,"",OFFSET(INPUTS!K$5,$C32,0))</f>
        <v/>
      </c>
      <c r="L32" s="114" t="str">
        <f ca="1">IF($C32=0,"",OFFSET(INPUTS!L$5,$C32,0))</f>
        <v/>
      </c>
      <c r="M32" s="94" t="str">
        <f ca="1">IF($C32=0,"",OFFSET(INPUTS!M$5,$C32,0))</f>
        <v/>
      </c>
      <c r="N32" s="94" t="str">
        <f ca="1">IF($C32=0,"",OFFSET(INPUTS!N$5,$C32,0))</f>
        <v/>
      </c>
      <c r="O32" s="94" t="str">
        <f ca="1">IF($C32=0,"",OFFSET(INPUTS!O$5,$C32,0))</f>
        <v/>
      </c>
      <c r="P32" s="114" t="str">
        <f ca="1">IF($C32=0,"",OFFSET(INPUTS!P$5,$C32,0))</f>
        <v/>
      </c>
      <c r="Q32" s="141" t="str">
        <f ca="1">IF($C32=0,"",OFFSET(INPUTS!Q$5,$C32,0))</f>
        <v/>
      </c>
      <c r="R32" s="37" t="str">
        <f t="shared" si="10"/>
        <v/>
      </c>
      <c r="S32" s="38">
        <f t="shared" ca="1" si="38"/>
        <v>0</v>
      </c>
      <c r="T32" s="129" t="str">
        <f t="shared" si="39"/>
        <v>none</v>
      </c>
      <c r="U32" s="126" t="str">
        <f t="shared" ca="1" si="40"/>
        <v/>
      </c>
      <c r="V32" s="151" t="str">
        <f t="shared" ca="1" si="41"/>
        <v/>
      </c>
      <c r="W32" s="131" t="str">
        <f t="shared" ca="1" si="2"/>
        <v/>
      </c>
      <c r="X32" s="39" t="str">
        <f t="shared" si="3"/>
        <v>none</v>
      </c>
      <c r="Y32" s="35" t="str">
        <f t="shared" ca="1" si="42"/>
        <v/>
      </c>
      <c r="Z32" s="75" t="str">
        <f t="shared" si="43"/>
        <v/>
      </c>
      <c r="AA32" s="40" t="str">
        <f t="shared" si="44"/>
        <v/>
      </c>
      <c r="AB32" s="171" t="str">
        <f t="shared" si="6"/>
        <v/>
      </c>
      <c r="AC32" s="41" t="str">
        <f t="shared" si="45"/>
        <v/>
      </c>
      <c r="AD32" s="35" t="str">
        <f t="shared" si="46"/>
        <v/>
      </c>
      <c r="AE32" s="42" t="str">
        <f t="shared" si="47"/>
        <v/>
      </c>
      <c r="AF32" s="146" t="str">
        <f t="shared" si="48"/>
        <v/>
      </c>
      <c r="AG32" s="35" t="str">
        <f t="shared" si="49"/>
        <v/>
      </c>
      <c r="AH32" s="118">
        <v>0</v>
      </c>
      <c r="AI32" s="125">
        <f>IF(C$6=0,0,SUMIF('Prepool 2'!$X$5:$X$38,X32,'Prepool 2'!$AH$5:$AH$38)*2)</f>
        <v>0</v>
      </c>
    </row>
    <row r="33" spans="1:35" ht="15.65" hidden="1" x14ac:dyDescent="0.3">
      <c r="A33" s="36" t="str">
        <f>IF(INPUTS!A33=0,"none",INPUTS!A33)</f>
        <v>none</v>
      </c>
      <c r="B33" s="36" t="str">
        <f>IF(INPUTS!B33=0,"none",INPUTS!B33)</f>
        <v>none</v>
      </c>
      <c r="C33" s="109">
        <f>IF(B33="none",0,MATCH(B33,INPUTS!$B$6:$B$69,0))</f>
        <v>0</v>
      </c>
      <c r="D33" s="94" t="str">
        <f ca="1">IF($C33=0,"",OFFSET(INPUTS!D$5,$C33,0))</f>
        <v/>
      </c>
      <c r="E33" s="94" t="str">
        <f ca="1">IF($C33=0,"",OFFSET(INPUTS!E$5,$C33,0))</f>
        <v/>
      </c>
      <c r="F33" s="115" t="str">
        <f ca="1">IF($C33=0,"",OFFSET(INPUTS!F$5,$C33,0))</f>
        <v/>
      </c>
      <c r="G33" s="115" t="str">
        <f ca="1">IF($C33=0,"",OFFSET(INPUTS!G$5,$C33,0))</f>
        <v/>
      </c>
      <c r="H33" s="94" t="str">
        <f ca="1">IF($C33=0,"",OFFSET(INPUTS!H$5,$C33,0))</f>
        <v/>
      </c>
      <c r="I33" s="94" t="str">
        <f ca="1">IF($C33=0,"",OFFSET(INPUTS!I$5,$C33,0))</f>
        <v/>
      </c>
      <c r="J33" s="94" t="str">
        <f ca="1">IF($C33=0,"",OFFSET(INPUTS!J$5,$C33,0))</f>
        <v/>
      </c>
      <c r="K33" s="114" t="str">
        <f ca="1">IF($C33=0,"",OFFSET(INPUTS!K$5,$C33,0))</f>
        <v/>
      </c>
      <c r="L33" s="114" t="str">
        <f ca="1">IF($C33=0,"",OFFSET(INPUTS!L$5,$C33,0))</f>
        <v/>
      </c>
      <c r="M33" s="94" t="str">
        <f ca="1">IF($C33=0,"",OFFSET(INPUTS!M$5,$C33,0))</f>
        <v/>
      </c>
      <c r="N33" s="94" t="str">
        <f ca="1">IF($C33=0,"",OFFSET(INPUTS!N$5,$C33,0))</f>
        <v/>
      </c>
      <c r="O33" s="94" t="str">
        <f ca="1">IF($C33=0,"",OFFSET(INPUTS!O$5,$C33,0))</f>
        <v/>
      </c>
      <c r="P33" s="114" t="str">
        <f ca="1">IF($C33=0,"",OFFSET(INPUTS!P$5,$C33,0))</f>
        <v/>
      </c>
      <c r="Q33" s="141" t="str">
        <f ca="1">IF($C33=0,"",OFFSET(INPUTS!Q$5,$C33,0))</f>
        <v/>
      </c>
      <c r="R33" s="37" t="str">
        <f t="shared" si="10"/>
        <v/>
      </c>
      <c r="S33" s="38">
        <f t="shared" ca="1" si="38"/>
        <v>0</v>
      </c>
      <c r="T33" s="129" t="str">
        <f t="shared" si="39"/>
        <v>none</v>
      </c>
      <c r="U33" s="126" t="str">
        <f t="shared" ca="1" si="40"/>
        <v/>
      </c>
      <c r="V33" s="151" t="str">
        <f t="shared" ca="1" si="41"/>
        <v/>
      </c>
      <c r="W33" s="131" t="str">
        <f t="shared" ca="1" si="2"/>
        <v/>
      </c>
      <c r="X33" s="39" t="str">
        <f t="shared" si="3"/>
        <v>none</v>
      </c>
      <c r="Y33" s="35" t="str">
        <f t="shared" ca="1" si="42"/>
        <v/>
      </c>
      <c r="Z33" s="75" t="str">
        <f t="shared" si="43"/>
        <v/>
      </c>
      <c r="AA33" s="40" t="str">
        <f t="shared" si="44"/>
        <v/>
      </c>
      <c r="AB33" s="171" t="str">
        <f t="shared" si="6"/>
        <v/>
      </c>
      <c r="AC33" s="41" t="str">
        <f t="shared" si="45"/>
        <v/>
      </c>
      <c r="AD33" s="35" t="str">
        <f t="shared" si="46"/>
        <v/>
      </c>
      <c r="AE33" s="42" t="str">
        <f t="shared" si="47"/>
        <v/>
      </c>
      <c r="AF33" s="146" t="str">
        <f t="shared" si="48"/>
        <v/>
      </c>
      <c r="AG33" s="35" t="str">
        <f t="shared" si="49"/>
        <v/>
      </c>
      <c r="AH33" s="118">
        <v>0</v>
      </c>
      <c r="AI33" s="125">
        <f>IF(C$6=0,0,SUMIF('Prepool 2'!$X$5:$X$38,X33,'Prepool 2'!$AH$5:$AH$38)*2)</f>
        <v>0</v>
      </c>
    </row>
    <row r="34" spans="1:35" ht="15.65" hidden="1" x14ac:dyDescent="0.3">
      <c r="A34" s="36" t="str">
        <f>IF(INPUTS!A34=0,"none",INPUTS!A34)</f>
        <v>none</v>
      </c>
      <c r="B34" s="36" t="str">
        <f>IF(INPUTS!B34=0,"none",INPUTS!B34)</f>
        <v>none</v>
      </c>
      <c r="C34" s="109">
        <f>IF(B34="none",0,MATCH(B34,INPUTS!$B$6:$B$69,0))</f>
        <v>0</v>
      </c>
      <c r="D34" s="94" t="str">
        <f ca="1">IF($C34=0,"",OFFSET(INPUTS!D$5,$C34,0))</f>
        <v/>
      </c>
      <c r="E34" s="94" t="str">
        <f ca="1">IF($C34=0,"",OFFSET(INPUTS!E$5,$C34,0))</f>
        <v/>
      </c>
      <c r="F34" s="115" t="str">
        <f ca="1">IF($C34=0,"",OFFSET(INPUTS!F$5,$C34,0))</f>
        <v/>
      </c>
      <c r="G34" s="115" t="str">
        <f ca="1">IF($C34=0,"",OFFSET(INPUTS!G$5,$C34,0))</f>
        <v/>
      </c>
      <c r="H34" s="94" t="str">
        <f ca="1">IF($C34=0,"",OFFSET(INPUTS!H$5,$C34,0))</f>
        <v/>
      </c>
      <c r="I34" s="94" t="str">
        <f ca="1">IF($C34=0,"",OFFSET(INPUTS!I$5,$C34,0))</f>
        <v/>
      </c>
      <c r="J34" s="94" t="str">
        <f ca="1">IF($C34=0,"",OFFSET(INPUTS!J$5,$C34,0))</f>
        <v/>
      </c>
      <c r="K34" s="114" t="str">
        <f ca="1">IF($C34=0,"",OFFSET(INPUTS!K$5,$C34,0))</f>
        <v/>
      </c>
      <c r="L34" s="114" t="str">
        <f ca="1">IF($C34=0,"",OFFSET(INPUTS!L$5,$C34,0))</f>
        <v/>
      </c>
      <c r="M34" s="94" t="str">
        <f ca="1">IF($C34=0,"",OFFSET(INPUTS!M$5,$C34,0))</f>
        <v/>
      </c>
      <c r="N34" s="94" t="str">
        <f ca="1">IF($C34=0,"",OFFSET(INPUTS!N$5,$C34,0))</f>
        <v/>
      </c>
      <c r="O34" s="94" t="str">
        <f ca="1">IF($C34=0,"",OFFSET(INPUTS!O$5,$C34,0))</f>
        <v/>
      </c>
      <c r="P34" s="114" t="str">
        <f ca="1">IF($C34=0,"",OFFSET(INPUTS!P$5,$C34,0))</f>
        <v/>
      </c>
      <c r="Q34" s="141" t="str">
        <f ca="1">IF($C34=0,"",OFFSET(INPUTS!Q$5,$C34,0))</f>
        <v/>
      </c>
      <c r="R34" s="37" t="str">
        <f t="shared" si="10"/>
        <v/>
      </c>
      <c r="S34" s="38">
        <f t="shared" ca="1" si="38"/>
        <v>0</v>
      </c>
      <c r="T34" s="129" t="str">
        <f t="shared" si="39"/>
        <v>none</v>
      </c>
      <c r="U34" s="126" t="str">
        <f t="shared" ca="1" si="40"/>
        <v/>
      </c>
      <c r="V34" s="151" t="str">
        <f t="shared" ca="1" si="41"/>
        <v/>
      </c>
      <c r="W34" s="131" t="str">
        <f t="shared" ca="1" si="2"/>
        <v/>
      </c>
      <c r="X34" s="39" t="str">
        <f t="shared" si="3"/>
        <v>none</v>
      </c>
      <c r="Y34" s="35" t="str">
        <f t="shared" ca="1" si="42"/>
        <v/>
      </c>
      <c r="Z34" s="75" t="str">
        <f t="shared" si="43"/>
        <v/>
      </c>
      <c r="AA34" s="40" t="str">
        <f t="shared" si="44"/>
        <v/>
      </c>
      <c r="AB34" s="171" t="str">
        <f t="shared" si="6"/>
        <v/>
      </c>
      <c r="AC34" s="41" t="str">
        <f t="shared" si="45"/>
        <v/>
      </c>
      <c r="AD34" s="35" t="str">
        <f t="shared" si="46"/>
        <v/>
      </c>
      <c r="AE34" s="42" t="str">
        <f t="shared" si="47"/>
        <v/>
      </c>
      <c r="AF34" s="146" t="str">
        <f t="shared" si="48"/>
        <v/>
      </c>
      <c r="AG34" s="35" t="str">
        <f t="shared" si="49"/>
        <v/>
      </c>
      <c r="AH34" s="118">
        <v>0</v>
      </c>
      <c r="AI34" s="125">
        <f>IF(C$6=0,0,SUMIF('Prepool 2'!$X$5:$X$38,X34,'Prepool 2'!$AH$5:$AH$38)*2)</f>
        <v>0</v>
      </c>
    </row>
    <row r="35" spans="1:35" ht="15.65" hidden="1" x14ac:dyDescent="0.3">
      <c r="A35" s="36" t="str">
        <f>IF(INPUTS!A35=0,"none",INPUTS!A35)</f>
        <v>none</v>
      </c>
      <c r="B35" s="36" t="str">
        <f>IF(INPUTS!B35=0,"none",INPUTS!B35)</f>
        <v>none</v>
      </c>
      <c r="C35" s="109">
        <f>IF(B35="none",0,MATCH(B35,INPUTS!$B$6:$B$69,0))</f>
        <v>0</v>
      </c>
      <c r="D35" s="94" t="str">
        <f ca="1">IF($C35=0,"",OFFSET(INPUTS!D$5,$C35,0))</f>
        <v/>
      </c>
      <c r="E35" s="94" t="str">
        <f ca="1">IF($C35=0,"",OFFSET(INPUTS!E$5,$C35,0))</f>
        <v/>
      </c>
      <c r="F35" s="115" t="str">
        <f ca="1">IF($C35=0,"",OFFSET(INPUTS!F$5,$C35,0))</f>
        <v/>
      </c>
      <c r="G35" s="115" t="str">
        <f ca="1">IF($C35=0,"",OFFSET(INPUTS!G$5,$C35,0))</f>
        <v/>
      </c>
      <c r="H35" s="94" t="str">
        <f ca="1">IF($C35=0,"",OFFSET(INPUTS!H$5,$C35,0))</f>
        <v/>
      </c>
      <c r="I35" s="94" t="str">
        <f ca="1">IF($C35=0,"",OFFSET(INPUTS!I$5,$C35,0))</f>
        <v/>
      </c>
      <c r="J35" s="94" t="str">
        <f ca="1">IF($C35=0,"",OFFSET(INPUTS!J$5,$C35,0))</f>
        <v/>
      </c>
      <c r="K35" s="114" t="str">
        <f ca="1">IF($C35=0,"",OFFSET(INPUTS!K$5,$C35,0))</f>
        <v/>
      </c>
      <c r="L35" s="114" t="str">
        <f ca="1">IF($C35=0,"",OFFSET(INPUTS!L$5,$C35,0))</f>
        <v/>
      </c>
      <c r="M35" s="94" t="str">
        <f ca="1">IF($C35=0,"",OFFSET(INPUTS!M$5,$C35,0))</f>
        <v/>
      </c>
      <c r="N35" s="94" t="str">
        <f ca="1">IF($C35=0,"",OFFSET(INPUTS!N$5,$C35,0))</f>
        <v/>
      </c>
      <c r="O35" s="94" t="str">
        <f ca="1">IF($C35=0,"",OFFSET(INPUTS!O$5,$C35,0))</f>
        <v/>
      </c>
      <c r="P35" s="114" t="str">
        <f ca="1">IF($C35=0,"",OFFSET(INPUTS!P$5,$C35,0))</f>
        <v/>
      </c>
      <c r="Q35" s="141" t="str">
        <f ca="1">IF($C35=0,"",OFFSET(INPUTS!Q$5,$C35,0))</f>
        <v/>
      </c>
      <c r="R35" s="37" t="str">
        <f t="shared" si="10"/>
        <v/>
      </c>
      <c r="S35" s="38">
        <f t="shared" ref="S35:S38" ca="1" si="50">SUM(J35,R35)</f>
        <v>0</v>
      </c>
      <c r="T35" s="129" t="str">
        <f t="shared" ref="T35:T38" si="51">IF(A35=0,"",A35)</f>
        <v>none</v>
      </c>
      <c r="U35" s="126" t="str">
        <f t="shared" ref="U35:U38" ca="1" si="52">IF(M35=0,"",M35)</f>
        <v/>
      </c>
      <c r="V35" s="151" t="str">
        <f t="shared" ref="V35:V38" ca="1" si="53">IF(F35=0,"",F35&amp;IF(OR(G35="",G35=0),"","+"&amp;G35))</f>
        <v/>
      </c>
      <c r="W35" s="131" t="str">
        <f t="shared" ref="W35:W38" ca="1" si="54">IF(ISNUMBER(V35),COUNTIF($V$6:$V$38,V35),"")</f>
        <v/>
      </c>
      <c r="X35" s="39" t="str">
        <f t="shared" si="3"/>
        <v>none</v>
      </c>
      <c r="Y35" s="35" t="str">
        <f t="shared" ref="Y35:Y38" ca="1" si="55">IF(N35=0,"",N35)</f>
        <v/>
      </c>
      <c r="Z35" s="75" t="str">
        <f t="shared" ref="Z35:Z38" si="56">IF($AH35=0,"",IF($R35="","",IF(AF35&lt;0.2,10,IF(AF35&lt;0.795,5,""))))</f>
        <v/>
      </c>
      <c r="AA35" s="40" t="str">
        <f t="shared" ref="AA35:AA38" si="57">IF($AH35=0,"",IF($R35="","",AF35*IF($Z35="",1,$Z35)))</f>
        <v/>
      </c>
      <c r="AB35" s="171" t="str">
        <f t="shared" ref="AB35:AB38" si="58">IF(ISNUMBER(AA35),RANK(AA35,$AA$6:$AA$38,0),"")</f>
        <v/>
      </c>
      <c r="AC35" s="41" t="str">
        <f t="shared" ref="AC35:AC38" si="59">IF($AH35=0,"",IF($R35="","",R35*$AA35/IF($Z35="",1,$Z35)))</f>
        <v/>
      </c>
      <c r="AD35" s="35" t="str">
        <f t="shared" ref="AD35:AD38" si="60">IF($AH35=0,"",IF($R35="","",S35*$AA35/IF($Z35="",1,$Z35)))</f>
        <v/>
      </c>
      <c r="AE35" s="42" t="str">
        <f t="shared" ref="AE35:AE38" si="61">IF($AH35=0,"",IF($R35="","",D35*$AA35/IF($Z35="",1,$Z35)))</f>
        <v/>
      </c>
      <c r="AF35" s="146" t="str">
        <f t="shared" ref="AF35:AF38" si="62">IF(R35="","",$AA$4/R35*Q35)</f>
        <v/>
      </c>
      <c r="AG35" s="35" t="str">
        <f t="shared" ref="AG35:AG38" si="63">IF($AH35=0,"",Q35)</f>
        <v/>
      </c>
      <c r="AH35" s="118">
        <v>0</v>
      </c>
      <c r="AI35" s="125">
        <f>IF(C$6=0,0,SUMIF('Prepool 2'!$X$5:$X$38,X35,'Prepool 2'!$AH$5:$AH$38)*2)</f>
        <v>0</v>
      </c>
    </row>
    <row r="36" spans="1:35" ht="15.65" hidden="1" x14ac:dyDescent="0.3">
      <c r="A36" s="36" t="str">
        <f>IF(INPUTS!A36=0,"none",INPUTS!A36)</f>
        <v>none</v>
      </c>
      <c r="B36" s="36" t="str">
        <f>IF(INPUTS!B36=0,"none",INPUTS!B36)</f>
        <v>none</v>
      </c>
      <c r="C36" s="109">
        <f>IF(B36="none",0,MATCH(B36,INPUTS!$B$6:$B$69,0))</f>
        <v>0</v>
      </c>
      <c r="D36" s="94" t="str">
        <f ca="1">IF($C36=0,"",OFFSET(INPUTS!D$5,$C36,0))</f>
        <v/>
      </c>
      <c r="E36" s="94" t="str">
        <f ca="1">IF($C36=0,"",OFFSET(INPUTS!E$5,$C36,0))</f>
        <v/>
      </c>
      <c r="F36" s="115" t="str">
        <f ca="1">IF($C36=0,"",OFFSET(INPUTS!F$5,$C36,0))</f>
        <v/>
      </c>
      <c r="G36" s="115" t="str">
        <f ca="1">IF($C36=0,"",OFFSET(INPUTS!G$5,$C36,0))</f>
        <v/>
      </c>
      <c r="H36" s="94" t="str">
        <f ca="1">IF($C36=0,"",OFFSET(INPUTS!H$5,$C36,0))</f>
        <v/>
      </c>
      <c r="I36" s="94" t="str">
        <f ca="1">IF($C36=0,"",OFFSET(INPUTS!I$5,$C36,0))</f>
        <v/>
      </c>
      <c r="J36" s="94" t="str">
        <f ca="1">IF($C36=0,"",OFFSET(INPUTS!J$5,$C36,0))</f>
        <v/>
      </c>
      <c r="K36" s="114" t="str">
        <f ca="1">IF($C36=0,"",OFFSET(INPUTS!K$5,$C36,0))</f>
        <v/>
      </c>
      <c r="L36" s="114" t="str">
        <f ca="1">IF($C36=0,"",OFFSET(INPUTS!L$5,$C36,0))</f>
        <v/>
      </c>
      <c r="M36" s="94" t="str">
        <f ca="1">IF($C36=0,"",OFFSET(INPUTS!M$5,$C36,0))</f>
        <v/>
      </c>
      <c r="N36" s="94" t="str">
        <f ca="1">IF($C36=0,"",OFFSET(INPUTS!N$5,$C36,0))</f>
        <v/>
      </c>
      <c r="O36" s="94" t="str">
        <f ca="1">IF($C36=0,"",OFFSET(INPUTS!O$5,$C36,0))</f>
        <v/>
      </c>
      <c r="P36" s="114" t="str">
        <f ca="1">IF($C36=0,"",OFFSET(INPUTS!P$5,$C36,0))</f>
        <v/>
      </c>
      <c r="Q36" s="141" t="str">
        <f ca="1">IF($C36=0,"",OFFSET(INPUTS!Q$5,$C36,0))</f>
        <v/>
      </c>
      <c r="R36" s="37" t="str">
        <f t="shared" si="10"/>
        <v/>
      </c>
      <c r="S36" s="38">
        <f t="shared" ca="1" si="50"/>
        <v>0</v>
      </c>
      <c r="T36" s="129" t="str">
        <f t="shared" si="51"/>
        <v>none</v>
      </c>
      <c r="U36" s="126" t="str">
        <f t="shared" ca="1" si="52"/>
        <v/>
      </c>
      <c r="V36" s="151" t="str">
        <f t="shared" ca="1" si="53"/>
        <v/>
      </c>
      <c r="W36" s="131" t="str">
        <f t="shared" ca="1" si="54"/>
        <v/>
      </c>
      <c r="X36" s="39" t="str">
        <f t="shared" si="3"/>
        <v>none</v>
      </c>
      <c r="Y36" s="35" t="str">
        <f t="shared" ca="1" si="55"/>
        <v/>
      </c>
      <c r="Z36" s="75" t="str">
        <f t="shared" si="56"/>
        <v/>
      </c>
      <c r="AA36" s="40" t="str">
        <f t="shared" si="57"/>
        <v/>
      </c>
      <c r="AB36" s="171" t="str">
        <f t="shared" si="58"/>
        <v/>
      </c>
      <c r="AC36" s="41" t="str">
        <f t="shared" si="59"/>
        <v/>
      </c>
      <c r="AD36" s="35" t="str">
        <f t="shared" si="60"/>
        <v/>
      </c>
      <c r="AE36" s="42" t="str">
        <f t="shared" si="61"/>
        <v/>
      </c>
      <c r="AF36" s="146" t="str">
        <f t="shared" si="62"/>
        <v/>
      </c>
      <c r="AG36" s="35" t="str">
        <f t="shared" si="63"/>
        <v/>
      </c>
      <c r="AH36" s="118">
        <v>0</v>
      </c>
      <c r="AI36" s="125">
        <f>IF(C$6=0,0,SUMIF('Prepool 2'!$X$5:$X$38,X36,'Prepool 2'!$AH$5:$AH$38)*2)</f>
        <v>0</v>
      </c>
    </row>
    <row r="37" spans="1:35" ht="15.65" hidden="1" x14ac:dyDescent="0.3">
      <c r="A37" s="36" t="str">
        <f>IF(INPUTS!A37=0,"none",INPUTS!A37)</f>
        <v>none</v>
      </c>
      <c r="B37" s="36" t="str">
        <f>IF(INPUTS!B37=0,"none",INPUTS!B37)</f>
        <v>none</v>
      </c>
      <c r="C37" s="109">
        <f>IF(B37="none",0,MATCH(B37,INPUTS!$B$6:$B$69,0))</f>
        <v>0</v>
      </c>
      <c r="D37" s="94" t="str">
        <f ca="1">IF($C37=0,"",OFFSET(INPUTS!D$5,$C37,0))</f>
        <v/>
      </c>
      <c r="E37" s="94" t="str">
        <f ca="1">IF($C37=0,"",OFFSET(INPUTS!E$5,$C37,0))</f>
        <v/>
      </c>
      <c r="F37" s="115" t="str">
        <f ca="1">IF($C37=0,"",OFFSET(INPUTS!F$5,$C37,0))</f>
        <v/>
      </c>
      <c r="G37" s="115" t="str">
        <f ca="1">IF($C37=0,"",OFFSET(INPUTS!G$5,$C37,0))</f>
        <v/>
      </c>
      <c r="H37" s="94" t="str">
        <f ca="1">IF($C37=0,"",OFFSET(INPUTS!H$5,$C37,0))</f>
        <v/>
      </c>
      <c r="I37" s="94" t="str">
        <f ca="1">IF($C37=0,"",OFFSET(INPUTS!I$5,$C37,0))</f>
        <v/>
      </c>
      <c r="J37" s="94" t="str">
        <f ca="1">IF($C37=0,"",OFFSET(INPUTS!J$5,$C37,0))</f>
        <v/>
      </c>
      <c r="K37" s="114" t="str">
        <f ca="1">IF($C37=0,"",OFFSET(INPUTS!K$5,$C37,0))</f>
        <v/>
      </c>
      <c r="L37" s="114" t="str">
        <f ca="1">IF($C37=0,"",OFFSET(INPUTS!L$5,$C37,0))</f>
        <v/>
      </c>
      <c r="M37" s="94" t="str">
        <f ca="1">IF($C37=0,"",OFFSET(INPUTS!M$5,$C37,0))</f>
        <v/>
      </c>
      <c r="N37" s="94" t="str">
        <f ca="1">IF($C37=0,"",OFFSET(INPUTS!N$5,$C37,0))</f>
        <v/>
      </c>
      <c r="O37" s="94" t="str">
        <f ca="1">IF($C37=0,"",OFFSET(INPUTS!O$5,$C37,0))</f>
        <v/>
      </c>
      <c r="P37" s="114" t="str">
        <f ca="1">IF($C37=0,"",OFFSET(INPUTS!P$5,$C37,0))</f>
        <v/>
      </c>
      <c r="Q37" s="141" t="str">
        <f ca="1">IF($C37=0,"",OFFSET(INPUTS!Q$5,$C37,0))</f>
        <v/>
      </c>
      <c r="R37" s="37" t="str">
        <f t="shared" si="10"/>
        <v/>
      </c>
      <c r="S37" s="38">
        <f t="shared" ca="1" si="50"/>
        <v>0</v>
      </c>
      <c r="T37" s="129" t="str">
        <f t="shared" si="51"/>
        <v>none</v>
      </c>
      <c r="U37" s="126" t="str">
        <f t="shared" ca="1" si="52"/>
        <v/>
      </c>
      <c r="V37" s="151" t="str">
        <f t="shared" ca="1" si="53"/>
        <v/>
      </c>
      <c r="W37" s="131" t="str">
        <f t="shared" ca="1" si="54"/>
        <v/>
      </c>
      <c r="X37" s="39" t="str">
        <f t="shared" si="3"/>
        <v>none</v>
      </c>
      <c r="Y37" s="35" t="str">
        <f t="shared" ca="1" si="55"/>
        <v/>
      </c>
      <c r="Z37" s="75" t="str">
        <f t="shared" si="56"/>
        <v/>
      </c>
      <c r="AA37" s="40" t="str">
        <f t="shared" si="57"/>
        <v/>
      </c>
      <c r="AB37" s="171" t="str">
        <f t="shared" si="58"/>
        <v/>
      </c>
      <c r="AC37" s="41" t="str">
        <f t="shared" si="59"/>
        <v/>
      </c>
      <c r="AD37" s="35" t="str">
        <f t="shared" si="60"/>
        <v/>
      </c>
      <c r="AE37" s="42" t="str">
        <f t="shared" si="61"/>
        <v/>
      </c>
      <c r="AF37" s="146" t="str">
        <f t="shared" si="62"/>
        <v/>
      </c>
      <c r="AG37" s="35" t="str">
        <f t="shared" si="63"/>
        <v/>
      </c>
      <c r="AH37" s="118">
        <v>0</v>
      </c>
      <c r="AI37" s="125">
        <f>IF(C$6=0,0,SUMIF('Prepool 2'!$X$5:$X$38,X37,'Prepool 2'!$AH$5:$AH$38)*2)</f>
        <v>0</v>
      </c>
    </row>
    <row r="38" spans="1:35" ht="16.3" hidden="1" thickBot="1" x14ac:dyDescent="0.35">
      <c r="A38" s="36" t="str">
        <f>IF(INPUTS!A38=0,"none",INPUTS!A38)</f>
        <v>none</v>
      </c>
      <c r="B38" s="36" t="str">
        <f>IF(INPUTS!B38=0,"none",INPUTS!B38)</f>
        <v>none</v>
      </c>
      <c r="C38" s="109">
        <f>IF(B38="none",0,MATCH(B38,INPUTS!$B$6:$B$69,0))</f>
        <v>0</v>
      </c>
      <c r="D38" s="94" t="str">
        <f ca="1">IF($C38=0,"",OFFSET(INPUTS!D$5,$C38,0))</f>
        <v/>
      </c>
      <c r="E38" s="94" t="str">
        <f ca="1">IF($C38=0,"",OFFSET(INPUTS!E$5,$C38,0))</f>
        <v/>
      </c>
      <c r="F38" s="115" t="str">
        <f ca="1">IF($C38=0,"",OFFSET(INPUTS!F$5,$C38,0))</f>
        <v/>
      </c>
      <c r="G38" s="115" t="str">
        <f ca="1">IF($C38=0,"",OFFSET(INPUTS!G$5,$C38,0))</f>
        <v/>
      </c>
      <c r="H38" s="94" t="str">
        <f ca="1">IF($C38=0,"",OFFSET(INPUTS!H$5,$C38,0))</f>
        <v/>
      </c>
      <c r="I38" s="94" t="str">
        <f ca="1">IF($C38=0,"",OFFSET(INPUTS!I$5,$C38,0))</f>
        <v/>
      </c>
      <c r="J38" s="94" t="str">
        <f ca="1">IF($C38=0,"",OFFSET(INPUTS!J$5,$C38,0))</f>
        <v/>
      </c>
      <c r="K38" s="114" t="str">
        <f ca="1">IF($C38=0,"",OFFSET(INPUTS!K$5,$C38,0))</f>
        <v/>
      </c>
      <c r="L38" s="114" t="str">
        <f ca="1">IF($C38=0,"",OFFSET(INPUTS!L$5,$C38,0))</f>
        <v/>
      </c>
      <c r="M38" s="94" t="str">
        <f ca="1">IF($C38=0,"",OFFSET(INPUTS!M$5,$C38,0))</f>
        <v/>
      </c>
      <c r="N38" s="94" t="str">
        <f ca="1">IF($C38=0,"",OFFSET(INPUTS!N$5,$C38,0))</f>
        <v/>
      </c>
      <c r="O38" s="94" t="str">
        <f ca="1">IF($C38=0,"",OFFSET(INPUTS!O$5,$C38,0))</f>
        <v/>
      </c>
      <c r="P38" s="114" t="str">
        <f ca="1">IF($C38=0,"",OFFSET(INPUTS!P$5,$C38,0))</f>
        <v/>
      </c>
      <c r="Q38" s="141" t="str">
        <f ca="1">IF($C38=0,"",OFFSET(INPUTS!Q$5,$C38,0))</f>
        <v/>
      </c>
      <c r="R38" s="37" t="str">
        <f t="shared" si="10"/>
        <v/>
      </c>
      <c r="S38" s="38">
        <f t="shared" ca="1" si="50"/>
        <v>0</v>
      </c>
      <c r="T38" s="129" t="str">
        <f t="shared" si="51"/>
        <v>none</v>
      </c>
      <c r="U38" s="126" t="str">
        <f t="shared" ca="1" si="52"/>
        <v/>
      </c>
      <c r="V38" s="151" t="str">
        <f t="shared" ca="1" si="53"/>
        <v/>
      </c>
      <c r="W38" s="131" t="str">
        <f t="shared" ca="1" si="54"/>
        <v/>
      </c>
      <c r="X38" s="39" t="str">
        <f t="shared" si="3"/>
        <v>none</v>
      </c>
      <c r="Y38" s="35" t="str">
        <f t="shared" ca="1" si="55"/>
        <v/>
      </c>
      <c r="Z38" s="75" t="str">
        <f t="shared" si="56"/>
        <v/>
      </c>
      <c r="AA38" s="40" t="str">
        <f t="shared" si="57"/>
        <v/>
      </c>
      <c r="AB38" s="171" t="str">
        <f t="shared" si="58"/>
        <v/>
      </c>
      <c r="AC38" s="41" t="str">
        <f t="shared" si="59"/>
        <v/>
      </c>
      <c r="AD38" s="35" t="str">
        <f t="shared" si="60"/>
        <v/>
      </c>
      <c r="AE38" s="42" t="str">
        <f t="shared" si="61"/>
        <v/>
      </c>
      <c r="AF38" s="146" t="str">
        <f t="shared" si="62"/>
        <v/>
      </c>
      <c r="AG38" s="35" t="str">
        <f t="shared" si="63"/>
        <v/>
      </c>
      <c r="AH38" s="118">
        <v>0</v>
      </c>
      <c r="AI38" s="125">
        <f>IF(C$6=0,0,SUMIF('Prepool 2'!$X$5:$X$38,X38,'Prepool 2'!$AH$5:$AH$38)*2)</f>
        <v>0</v>
      </c>
    </row>
    <row r="39" spans="1:35" x14ac:dyDescent="0.3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142"/>
      <c r="R39" s="49"/>
      <c r="S39" s="49"/>
      <c r="T39" s="49"/>
      <c r="U39" s="49"/>
      <c r="V39" s="49"/>
      <c r="W39" s="49"/>
      <c r="X39" s="49"/>
      <c r="Y39" s="49"/>
      <c r="Z39" s="76"/>
      <c r="AA39" s="68">
        <f ca="1">SUM(AA6:AA38)</f>
        <v>6.8329489320733954</v>
      </c>
      <c r="AB39" s="68"/>
      <c r="AC39" s="69">
        <f ca="1">SUM(AC6:AC38)</f>
        <v>120</v>
      </c>
      <c r="AD39" s="68">
        <f ca="1">SUM(AD6:AD38)</f>
        <v>120</v>
      </c>
      <c r="AE39" s="68">
        <f ca="1">SUM(AE6:AE38)</f>
        <v>15.641999999999999</v>
      </c>
      <c r="AF39" s="69"/>
      <c r="AG39" s="69"/>
      <c r="AH39" s="119"/>
      <c r="AI39" s="68"/>
    </row>
    <row r="40" spans="1:35" x14ac:dyDescent="0.3">
      <c r="C40"/>
      <c r="L40" s="1" t="s">
        <v>83</v>
      </c>
      <c r="M40" s="1"/>
      <c r="N40" s="1"/>
      <c r="O40" s="1"/>
      <c r="P40" s="20">
        <f ca="1">IF(ISERROR(AVERAGE(P6:P38)),0,AVERAGE(P6:P38))</f>
        <v>13.707469294035759</v>
      </c>
      <c r="Q40" s="11">
        <f ca="1">IF(ISERROR(AVERAGE(Q6:Q38)),0,AVERAGE(Q6:Q38))</f>
        <v>55</v>
      </c>
      <c r="R40" s="11"/>
      <c r="S40" s="11"/>
      <c r="T40" s="11"/>
      <c r="U40" s="11"/>
      <c r="V40" s="11"/>
      <c r="W40" s="11"/>
      <c r="X40" s="11"/>
      <c r="Y40" s="11"/>
      <c r="AD40" s="5"/>
      <c r="AE40" s="5"/>
      <c r="AH40" s="120"/>
      <c r="AI40" s="5"/>
    </row>
    <row r="41" spans="1:35" x14ac:dyDescent="0.3">
      <c r="C41"/>
      <c r="Q41" s="143"/>
      <c r="Z41" s="73" t="s">
        <v>67</v>
      </c>
      <c r="AA41" s="5">
        <f ca="1">SUM(AA6:AA38)</f>
        <v>6.8329489320733954</v>
      </c>
      <c r="AB41" s="16" t="s">
        <v>68</v>
      </c>
      <c r="AD41" s="3"/>
      <c r="AE41" s="16"/>
      <c r="AH41" s="120"/>
      <c r="AI41" s="16"/>
    </row>
    <row r="42" spans="1:35" x14ac:dyDescent="0.3">
      <c r="C42"/>
      <c r="Q42" s="143"/>
      <c r="Y42" s="5"/>
      <c r="Z42" s="184" t="s">
        <v>69</v>
      </c>
      <c r="AA42" s="159">
        <f>AC42</f>
        <v>0</v>
      </c>
      <c r="AB42" s="185" t="s">
        <v>68</v>
      </c>
      <c r="AC42" s="84">
        <v>0</v>
      </c>
      <c r="AD42" s="3" t="s">
        <v>84</v>
      </c>
      <c r="AE42" s="16"/>
      <c r="AH42" s="120"/>
      <c r="AI42" s="16"/>
    </row>
    <row r="43" spans="1:35" x14ac:dyDescent="0.3">
      <c r="C43"/>
      <c r="Q43" s="143"/>
      <c r="Y43" s="3"/>
      <c r="Z43" s="73" t="s">
        <v>85</v>
      </c>
      <c r="AA43" s="28">
        <f ca="1">SUM(AA41:AA42)</f>
        <v>6.8329489320733954</v>
      </c>
      <c r="AB43" s="16" t="s">
        <v>68</v>
      </c>
      <c r="AD43" s="1"/>
      <c r="AE43" s="16"/>
      <c r="AH43" s="120"/>
      <c r="AI43" s="16"/>
    </row>
    <row r="44" spans="1:35" x14ac:dyDescent="0.3">
      <c r="Q44" s="143"/>
      <c r="Y44" s="3"/>
      <c r="Z44" s="77" t="s">
        <v>86</v>
      </c>
      <c r="AA44" s="21">
        <f ca="1">IF($AA$41=0,"",AC39/$AA$43)</f>
        <v>17.561963537694275</v>
      </c>
      <c r="AB44" s="7" t="s">
        <v>72</v>
      </c>
      <c r="AD44" s="1"/>
      <c r="AE44" s="16"/>
      <c r="AH44" s="120"/>
      <c r="AI44" s="16"/>
    </row>
    <row r="45" spans="1:35" x14ac:dyDescent="0.3">
      <c r="Q45" s="143"/>
      <c r="Y45" s="1"/>
      <c r="Z45" s="73" t="s">
        <v>86</v>
      </c>
      <c r="AA45" s="5">
        <f ca="1">IF($AA$41=0,"",AD39/$AA$43)</f>
        <v>17.561963537694275</v>
      </c>
      <c r="AB45" t="s">
        <v>73</v>
      </c>
      <c r="AD45" s="16"/>
      <c r="AE45" s="16"/>
      <c r="AH45" s="121"/>
      <c r="AI45" s="16"/>
    </row>
    <row r="46" spans="1:35" x14ac:dyDescent="0.3">
      <c r="Q46" s="143"/>
      <c r="Y46" s="1"/>
      <c r="Z46" s="73" t="s">
        <v>87</v>
      </c>
      <c r="AA46" s="5">
        <f ca="1">IF($AA$41=0,"",AE39/$AA$43)</f>
        <v>2.2892019471384484</v>
      </c>
      <c r="AB46" t="s">
        <v>73</v>
      </c>
      <c r="AD46" s="1"/>
      <c r="AE46" s="16"/>
      <c r="AI46" s="16"/>
    </row>
    <row r="47" spans="1:35" ht="15.65" x14ac:dyDescent="0.3">
      <c r="Q47" s="143"/>
      <c r="S47" s="16"/>
      <c r="X47" s="22"/>
      <c r="Y47" s="1"/>
      <c r="Z47" s="73" t="s">
        <v>74</v>
      </c>
      <c r="AA47" s="8">
        <f ca="1">COUNTIF(AG6:AG38,"&gt;0")</f>
        <v>4</v>
      </c>
      <c r="AB47" s="16"/>
      <c r="AC47" s="16"/>
      <c r="AD47" s="5"/>
      <c r="AE47" s="5"/>
      <c r="AF47" s="16"/>
      <c r="AG47" s="16"/>
      <c r="AH47" s="120"/>
      <c r="AI47" s="5"/>
    </row>
    <row r="48" spans="1:35" ht="15.65" x14ac:dyDescent="0.3">
      <c r="Q48" s="143"/>
      <c r="S48" s="16"/>
      <c r="X48" s="22"/>
      <c r="AB48" s="8"/>
      <c r="AC48" s="8"/>
      <c r="AD48" s="5"/>
      <c r="AE48" s="5"/>
      <c r="AF48" s="8"/>
      <c r="AG48" s="8"/>
      <c r="AH48" s="120"/>
      <c r="AI48" s="5"/>
    </row>
    <row r="49" spans="4:35" ht="15.65" x14ac:dyDescent="0.3">
      <c r="I49" s="1"/>
      <c r="J49" s="1"/>
      <c r="K49" s="1"/>
      <c r="L49" s="1"/>
      <c r="M49" s="1"/>
      <c r="N49" s="1"/>
      <c r="O49" s="1"/>
      <c r="P49" s="19"/>
      <c r="R49" s="5"/>
      <c r="S49" s="16"/>
      <c r="T49" s="16"/>
      <c r="U49" s="16"/>
      <c r="V49" s="16"/>
      <c r="W49" s="16"/>
      <c r="X49" s="22"/>
      <c r="Y49" s="5"/>
      <c r="Z49" s="78"/>
      <c r="AA49" s="11"/>
      <c r="AB49" s="11"/>
      <c r="AC49" s="11"/>
      <c r="AD49" s="5"/>
      <c r="AE49" s="5"/>
      <c r="AF49" s="11"/>
      <c r="AG49" s="11"/>
      <c r="AH49" s="120"/>
      <c r="AI49" s="5"/>
    </row>
    <row r="50" spans="4:35" ht="15.65" x14ac:dyDescent="0.3">
      <c r="D50" s="5"/>
      <c r="E50" s="8"/>
      <c r="F50" s="8"/>
      <c r="G50" s="8"/>
      <c r="H50" s="8"/>
      <c r="I50" s="1"/>
      <c r="J50" s="1"/>
      <c r="K50" s="1"/>
      <c r="L50" s="1"/>
      <c r="M50" s="1"/>
      <c r="N50" s="1"/>
      <c r="O50" s="1"/>
      <c r="P50" s="19"/>
      <c r="R50" s="5"/>
      <c r="S50" s="16"/>
      <c r="T50" s="145" t="s">
        <v>75</v>
      </c>
      <c r="U50" s="16"/>
      <c r="V50" s="16"/>
      <c r="W50" s="16"/>
      <c r="X50" s="22"/>
      <c r="Y50" s="5"/>
      <c r="Z50" s="78"/>
      <c r="AA50" s="11"/>
      <c r="AB50" s="1"/>
      <c r="AC50" s="11"/>
      <c r="AD50" s="5"/>
      <c r="AE50" s="5"/>
      <c r="AF50" s="11"/>
      <c r="AG50" s="11"/>
      <c r="AH50" s="120"/>
      <c r="AI50" s="5"/>
    </row>
    <row r="51" spans="4:35" ht="15.65" x14ac:dyDescent="0.3">
      <c r="D51" s="5"/>
      <c r="E51" s="8"/>
      <c r="F51" s="8"/>
      <c r="G51" s="8"/>
      <c r="H51" s="8"/>
      <c r="I51" s="1"/>
      <c r="J51" s="1"/>
      <c r="K51" s="1"/>
      <c r="L51" s="1"/>
      <c r="M51" s="1"/>
      <c r="N51" s="1"/>
      <c r="O51" s="1"/>
      <c r="P51" s="19"/>
      <c r="R51" s="5"/>
      <c r="S51" s="16"/>
      <c r="T51" s="16"/>
      <c r="U51" s="16"/>
      <c r="V51" s="16"/>
      <c r="W51" s="16"/>
      <c r="X51" s="22"/>
      <c r="Y51" s="5"/>
      <c r="Z51" s="78"/>
      <c r="AA51" s="11"/>
      <c r="AB51" s="11"/>
      <c r="AC51" s="11"/>
      <c r="AD51" s="5"/>
      <c r="AE51" s="5"/>
      <c r="AF51" s="11"/>
      <c r="AG51" s="11"/>
      <c r="AH51" s="120"/>
      <c r="AI51" s="5"/>
    </row>
    <row r="52" spans="4:35" ht="15.65" x14ac:dyDescent="0.3">
      <c r="D52" s="5"/>
      <c r="E52" s="8"/>
      <c r="F52" s="8"/>
      <c r="G52" s="8"/>
      <c r="H52" s="8"/>
      <c r="I52" s="1"/>
      <c r="J52" s="1"/>
      <c r="K52" s="1"/>
      <c r="L52" s="1"/>
      <c r="M52" s="1"/>
      <c r="N52" s="1"/>
      <c r="O52" s="1"/>
      <c r="P52" s="19"/>
      <c r="R52" s="5"/>
      <c r="S52" s="16"/>
      <c r="T52" s="16"/>
      <c r="U52" s="16"/>
      <c r="V52" s="16"/>
      <c r="W52" s="16"/>
      <c r="X52" s="22"/>
      <c r="Y52" s="5"/>
      <c r="Z52" s="78"/>
      <c r="AA52" s="11"/>
      <c r="AB52" s="11"/>
      <c r="AC52" s="11"/>
      <c r="AD52" s="5"/>
      <c r="AE52" s="5"/>
      <c r="AF52" s="11"/>
      <c r="AG52" s="11"/>
      <c r="AH52" s="120"/>
      <c r="AI52" s="5"/>
    </row>
    <row r="53" spans="4:35" ht="15.65" x14ac:dyDescent="0.3">
      <c r="D53" s="5"/>
      <c r="E53" s="8"/>
      <c r="F53" s="8"/>
      <c r="G53" s="8"/>
      <c r="H53" s="8"/>
      <c r="I53" s="1"/>
      <c r="J53" s="1"/>
      <c r="K53" s="1"/>
      <c r="L53" s="1"/>
      <c r="M53" s="1"/>
      <c r="N53" s="1"/>
      <c r="O53" s="1"/>
      <c r="P53" s="19"/>
      <c r="R53" s="5"/>
      <c r="S53" s="16"/>
      <c r="T53" s="16"/>
      <c r="U53" s="16"/>
      <c r="V53" s="16"/>
      <c r="W53" s="16"/>
      <c r="X53" s="22"/>
      <c r="Y53" s="5"/>
      <c r="Z53" s="78"/>
      <c r="AA53" s="11"/>
      <c r="AB53" s="11"/>
      <c r="AC53" s="11"/>
      <c r="AD53" s="5"/>
      <c r="AE53" s="5"/>
      <c r="AF53" s="11"/>
      <c r="AG53" s="11"/>
      <c r="AH53" s="120"/>
      <c r="AI53" s="5"/>
    </row>
    <row r="54" spans="4:35" ht="15.65" x14ac:dyDescent="0.3">
      <c r="D54" s="5"/>
      <c r="E54" s="8"/>
      <c r="F54" s="8"/>
      <c r="G54" s="8"/>
      <c r="H54" s="8"/>
      <c r="I54" s="1"/>
      <c r="J54" s="1"/>
      <c r="K54" s="1"/>
      <c r="L54" s="1"/>
      <c r="M54" s="1"/>
      <c r="N54" s="1"/>
      <c r="O54" s="1"/>
      <c r="P54" s="19"/>
      <c r="R54" s="5"/>
      <c r="S54" s="16"/>
      <c r="T54" s="16"/>
      <c r="U54" s="16"/>
      <c r="V54" s="16"/>
      <c r="W54" s="16"/>
      <c r="X54" s="22"/>
      <c r="Y54" s="5"/>
      <c r="Z54" s="78"/>
      <c r="AA54" s="11"/>
      <c r="AB54" s="11"/>
      <c r="AC54" s="11"/>
      <c r="AD54" s="5"/>
      <c r="AE54" s="5"/>
      <c r="AF54" s="11"/>
      <c r="AG54" s="11"/>
      <c r="AH54" s="120"/>
      <c r="AI54" s="5"/>
    </row>
    <row r="55" spans="4:35" ht="15.65" x14ac:dyDescent="0.3">
      <c r="D55" s="5"/>
      <c r="E55" s="8"/>
      <c r="F55" s="8"/>
      <c r="G55" s="8"/>
      <c r="H55" s="8"/>
      <c r="I55" s="1"/>
      <c r="J55" s="1"/>
      <c r="K55" s="1"/>
      <c r="L55" s="1"/>
      <c r="M55" s="1"/>
      <c r="N55" s="1"/>
      <c r="O55" s="1"/>
      <c r="P55" s="19"/>
      <c r="R55" s="5"/>
      <c r="S55" s="16"/>
      <c r="T55" s="16"/>
      <c r="U55" s="16"/>
      <c r="V55" s="16"/>
      <c r="W55" s="16"/>
      <c r="X55" s="22"/>
      <c r="Y55" s="5"/>
      <c r="Z55" s="78"/>
      <c r="AA55" s="11"/>
      <c r="AB55" s="11"/>
      <c r="AC55" s="11"/>
      <c r="AD55" s="5"/>
      <c r="AE55" s="5"/>
      <c r="AF55" s="11"/>
      <c r="AG55" s="11"/>
      <c r="AH55" s="120"/>
      <c r="AI55" s="5"/>
    </row>
    <row r="56" spans="4:35" ht="15.65" x14ac:dyDescent="0.3">
      <c r="D56" s="5"/>
      <c r="E56" s="8"/>
      <c r="F56" s="8"/>
      <c r="G56" s="8"/>
      <c r="H56" s="8"/>
      <c r="I56" s="1"/>
      <c r="J56" s="1"/>
      <c r="K56" s="1"/>
      <c r="L56" s="1"/>
      <c r="M56" s="1"/>
      <c r="N56" s="1"/>
      <c r="O56" s="1"/>
      <c r="P56" s="19"/>
      <c r="R56" s="5"/>
      <c r="S56" s="16"/>
      <c r="T56" s="16"/>
      <c r="U56" s="16"/>
      <c r="V56" s="16"/>
      <c r="W56" s="16"/>
      <c r="X56" s="22"/>
      <c r="Y56" s="5"/>
      <c r="Z56" s="78"/>
      <c r="AA56" s="11"/>
      <c r="AB56" s="11"/>
      <c r="AC56" s="11"/>
      <c r="AD56" s="5"/>
      <c r="AE56" s="5"/>
      <c r="AF56" s="11"/>
      <c r="AG56" s="11"/>
      <c r="AH56" s="120"/>
      <c r="AI56" s="5"/>
    </row>
    <row r="57" spans="4:35" ht="15.65" x14ac:dyDescent="0.3">
      <c r="D57" s="5"/>
      <c r="E57" s="8"/>
      <c r="F57" s="8"/>
      <c r="G57" s="8"/>
      <c r="H57" s="8"/>
      <c r="I57" s="1"/>
      <c r="J57" s="1"/>
      <c r="K57" s="1"/>
      <c r="L57" s="1"/>
      <c r="M57" s="1"/>
      <c r="N57" s="1"/>
      <c r="O57" s="1"/>
      <c r="P57" s="19"/>
      <c r="R57" s="5"/>
      <c r="S57" s="16"/>
      <c r="T57" s="16"/>
      <c r="U57" s="16"/>
      <c r="V57" s="16"/>
      <c r="W57" s="16"/>
      <c r="X57" s="22"/>
      <c r="Y57" s="5"/>
      <c r="Z57" s="78"/>
      <c r="AA57" s="11"/>
      <c r="AB57" s="11"/>
      <c r="AC57" s="11"/>
      <c r="AD57" s="5"/>
      <c r="AE57" s="5"/>
      <c r="AF57" s="11"/>
      <c r="AG57" s="11"/>
      <c r="AH57" s="120"/>
      <c r="AI57" s="5"/>
    </row>
    <row r="58" spans="4:35" ht="15.65" x14ac:dyDescent="0.3">
      <c r="D58" s="5"/>
      <c r="E58" s="8"/>
      <c r="F58" s="8"/>
      <c r="G58" s="8"/>
      <c r="H58" s="8"/>
      <c r="I58" s="1"/>
      <c r="J58" s="1"/>
      <c r="K58" s="1"/>
      <c r="L58" s="1"/>
      <c r="M58" s="1"/>
      <c r="N58" s="1"/>
      <c r="O58" s="1"/>
      <c r="P58" s="19"/>
      <c r="R58" s="5"/>
      <c r="S58" s="16"/>
      <c r="T58" s="16"/>
      <c r="U58" s="16"/>
      <c r="V58" s="16"/>
      <c r="W58" s="16"/>
      <c r="X58" s="22"/>
      <c r="Y58" s="5"/>
      <c r="Z58" s="78"/>
      <c r="AA58" s="11"/>
      <c r="AB58" s="11"/>
      <c r="AC58" s="11"/>
      <c r="AD58" s="5"/>
      <c r="AE58" s="5"/>
      <c r="AF58" s="11"/>
      <c r="AG58" s="11"/>
      <c r="AH58" s="120"/>
      <c r="AI58" s="5"/>
    </row>
    <row r="59" spans="4:35" ht="15.65" x14ac:dyDescent="0.3">
      <c r="D59" s="5"/>
      <c r="E59" s="8"/>
      <c r="F59" s="8"/>
      <c r="G59" s="8"/>
      <c r="H59" s="8"/>
      <c r="I59" s="1"/>
      <c r="J59" s="1"/>
      <c r="K59" s="1"/>
      <c r="L59" s="1"/>
      <c r="M59" s="1"/>
      <c r="N59" s="1"/>
      <c r="O59" s="1"/>
      <c r="P59" s="19"/>
      <c r="R59" s="5"/>
      <c r="S59" s="16"/>
      <c r="T59" s="16"/>
      <c r="U59" s="16"/>
      <c r="V59" s="16"/>
      <c r="W59" s="16"/>
      <c r="X59" s="22"/>
      <c r="Y59" s="5"/>
      <c r="Z59" s="78"/>
      <c r="AA59" s="11"/>
      <c r="AB59" s="11"/>
      <c r="AC59" s="11"/>
      <c r="AD59" s="5"/>
      <c r="AE59" s="5"/>
      <c r="AF59" s="11"/>
      <c r="AG59" s="11"/>
      <c r="AH59" s="120"/>
      <c r="AI59" s="5"/>
    </row>
    <row r="60" spans="4:35" ht="15.65" x14ac:dyDescent="0.3">
      <c r="D60" s="5"/>
      <c r="E60" s="8"/>
      <c r="F60" s="8"/>
      <c r="G60" s="8"/>
      <c r="H60" s="8"/>
      <c r="I60" s="1"/>
      <c r="J60" s="1"/>
      <c r="K60" s="1"/>
      <c r="L60" s="1"/>
      <c r="M60" s="1"/>
      <c r="N60" s="1"/>
      <c r="O60" s="1"/>
      <c r="P60" s="19"/>
      <c r="R60" s="5"/>
      <c r="S60" s="16"/>
      <c r="T60" s="16"/>
      <c r="U60" s="16"/>
      <c r="V60" s="16"/>
      <c r="W60" s="16"/>
      <c r="X60" s="22"/>
      <c r="Y60" s="5"/>
      <c r="Z60" s="78"/>
      <c r="AA60" s="11"/>
      <c r="AB60" s="11"/>
      <c r="AC60" s="11"/>
      <c r="AD60" s="5"/>
      <c r="AE60" s="5"/>
      <c r="AF60" s="11"/>
      <c r="AG60" s="11"/>
      <c r="AH60" s="120"/>
      <c r="AI60" s="5"/>
    </row>
    <row r="61" spans="4:35" ht="15.65" x14ac:dyDescent="0.3">
      <c r="D61" s="5"/>
      <c r="E61" s="8"/>
      <c r="F61" s="8"/>
      <c r="G61" s="8"/>
      <c r="H61" s="8"/>
      <c r="I61" s="1"/>
      <c r="J61" s="1"/>
      <c r="K61" s="1"/>
      <c r="L61" s="1"/>
      <c r="M61" s="1"/>
      <c r="N61" s="1"/>
      <c r="O61" s="1"/>
      <c r="P61" s="19"/>
      <c r="R61" s="5"/>
      <c r="S61" s="16"/>
      <c r="T61" s="16"/>
      <c r="U61" s="16"/>
      <c r="V61" s="16"/>
      <c r="W61" s="16"/>
      <c r="X61" s="22"/>
      <c r="Y61" s="5"/>
      <c r="Z61" s="78"/>
      <c r="AA61" s="11"/>
      <c r="AB61" s="11"/>
      <c r="AC61" s="11"/>
      <c r="AD61" s="5"/>
      <c r="AE61" s="5"/>
      <c r="AF61" s="11"/>
      <c r="AG61" s="11"/>
      <c r="AH61" s="120"/>
      <c r="AI61" s="5"/>
    </row>
    <row r="62" spans="4:35" ht="15.65" x14ac:dyDescent="0.3">
      <c r="D62" s="5"/>
      <c r="E62" s="8"/>
      <c r="F62" s="8"/>
      <c r="G62" s="8"/>
      <c r="H62" s="8"/>
      <c r="I62" s="1"/>
      <c r="J62" s="1"/>
      <c r="K62" s="1"/>
      <c r="L62" s="1"/>
      <c r="M62" s="1"/>
      <c r="N62" s="1"/>
      <c r="O62" s="1"/>
      <c r="P62" s="19"/>
      <c r="R62" s="5"/>
      <c r="S62" s="16"/>
      <c r="T62" s="16"/>
      <c r="U62" s="16"/>
      <c r="V62" s="16"/>
      <c r="W62" s="16"/>
      <c r="X62" s="22"/>
      <c r="Y62" s="5"/>
      <c r="Z62" s="78"/>
      <c r="AA62" s="11"/>
      <c r="AB62" s="11"/>
      <c r="AC62" s="11"/>
      <c r="AD62" s="5"/>
      <c r="AE62" s="5"/>
      <c r="AF62" s="11"/>
      <c r="AG62" s="11"/>
      <c r="AH62" s="120"/>
      <c r="AI62" s="5"/>
    </row>
    <row r="63" spans="4:35" ht="15.65" x14ac:dyDescent="0.3">
      <c r="D63" s="5"/>
      <c r="E63" s="8"/>
      <c r="F63" s="8"/>
      <c r="G63" s="8"/>
      <c r="H63" s="8"/>
      <c r="I63" s="1"/>
      <c r="J63" s="1"/>
      <c r="K63" s="1"/>
      <c r="L63" s="1"/>
      <c r="M63" s="1"/>
      <c r="N63" s="1"/>
      <c r="O63" s="1"/>
      <c r="P63" s="19"/>
      <c r="R63" s="5"/>
      <c r="S63" s="16"/>
      <c r="T63" s="16"/>
      <c r="U63" s="16"/>
      <c r="V63" s="16"/>
      <c r="W63" s="16"/>
      <c r="X63" s="22"/>
      <c r="Y63" s="5"/>
      <c r="Z63" s="78"/>
      <c r="AA63" s="11"/>
      <c r="AB63" s="11"/>
      <c r="AC63" s="11"/>
      <c r="AD63" s="5"/>
      <c r="AE63" s="5"/>
      <c r="AF63" s="11"/>
      <c r="AG63" s="11"/>
      <c r="AH63" s="120"/>
      <c r="AI63" s="5"/>
    </row>
    <row r="64" spans="4:35" ht="15.65" x14ac:dyDescent="0.3">
      <c r="D64" s="5"/>
      <c r="E64" s="8"/>
      <c r="F64" s="8"/>
      <c r="G64" s="8"/>
      <c r="H64" s="8"/>
      <c r="I64" s="1"/>
      <c r="J64" s="1"/>
      <c r="K64" s="1"/>
      <c r="L64" s="1"/>
      <c r="M64" s="1"/>
      <c r="N64" s="1"/>
      <c r="O64" s="1"/>
      <c r="P64" s="19"/>
      <c r="R64" s="5"/>
      <c r="S64" s="16"/>
      <c r="T64" s="16"/>
      <c r="U64" s="16"/>
      <c r="V64" s="16"/>
      <c r="W64" s="16"/>
      <c r="X64" s="22"/>
      <c r="Y64" s="5"/>
      <c r="Z64" s="78"/>
      <c r="AA64" s="11"/>
      <c r="AB64" s="11"/>
      <c r="AC64" s="11"/>
      <c r="AD64" s="5"/>
      <c r="AE64" s="5"/>
      <c r="AF64" s="11"/>
      <c r="AG64" s="11"/>
      <c r="AH64" s="120"/>
      <c r="AI64" s="5"/>
    </row>
    <row r="65" spans="4:35" ht="15.65" x14ac:dyDescent="0.3">
      <c r="D65" s="5"/>
      <c r="E65" s="8"/>
      <c r="F65" s="8"/>
      <c r="G65" s="8"/>
      <c r="H65" s="8"/>
      <c r="I65" s="1"/>
      <c r="J65" s="1"/>
      <c r="K65" s="1"/>
      <c r="L65" s="1"/>
      <c r="M65" s="1"/>
      <c r="N65" s="1"/>
      <c r="O65" s="1"/>
      <c r="P65" s="19"/>
      <c r="R65" s="5"/>
      <c r="S65" s="16"/>
      <c r="T65" s="16"/>
      <c r="U65" s="16"/>
      <c r="V65" s="16"/>
      <c r="W65" s="16"/>
      <c r="X65" s="22"/>
      <c r="Y65" s="5"/>
      <c r="Z65" s="78"/>
      <c r="AA65" s="11"/>
      <c r="AB65" s="11"/>
      <c r="AC65" s="11"/>
      <c r="AD65" s="5"/>
      <c r="AE65" s="5"/>
      <c r="AF65" s="11"/>
      <c r="AG65" s="11"/>
      <c r="AH65" s="120"/>
      <c r="AI65" s="5"/>
    </row>
    <row r="66" spans="4:35" ht="15.65" x14ac:dyDescent="0.3">
      <c r="D66" s="5"/>
      <c r="E66" s="8"/>
      <c r="F66" s="8"/>
      <c r="G66" s="8"/>
      <c r="H66" s="8"/>
      <c r="I66" s="1"/>
      <c r="J66" s="1"/>
      <c r="K66" s="1"/>
      <c r="L66" s="1"/>
      <c r="M66" s="1"/>
      <c r="N66" s="1"/>
      <c r="O66" s="1"/>
      <c r="P66" s="19"/>
      <c r="R66" s="5"/>
      <c r="S66" s="16"/>
      <c r="T66" s="16"/>
      <c r="U66" s="16"/>
      <c r="V66" s="16"/>
      <c r="W66" s="16"/>
      <c r="X66" s="22"/>
      <c r="Y66" s="5"/>
      <c r="Z66" s="78"/>
      <c r="AA66" s="11"/>
      <c r="AB66" s="11"/>
      <c r="AC66" s="11"/>
      <c r="AD66" s="5"/>
      <c r="AE66" s="5"/>
      <c r="AF66" s="11"/>
      <c r="AG66" s="11"/>
      <c r="AH66" s="120"/>
      <c r="AI66" s="5"/>
    </row>
    <row r="67" spans="4:35" ht="15.65" x14ac:dyDescent="0.3">
      <c r="D67" s="5"/>
      <c r="E67" s="8"/>
      <c r="F67" s="8"/>
      <c r="G67" s="8"/>
      <c r="H67" s="8"/>
      <c r="I67" s="1"/>
      <c r="J67" s="1"/>
      <c r="K67" s="1"/>
      <c r="L67" s="1"/>
      <c r="M67" s="1"/>
      <c r="N67" s="1"/>
      <c r="O67" s="1"/>
      <c r="P67" s="19"/>
      <c r="R67" s="5"/>
      <c r="S67" s="16"/>
      <c r="T67" s="16"/>
      <c r="U67" s="16"/>
      <c r="V67" s="16"/>
      <c r="W67" s="16"/>
      <c r="X67" s="22"/>
      <c r="Y67" s="5"/>
      <c r="Z67" s="78"/>
      <c r="AA67" s="11"/>
      <c r="AB67" s="11"/>
      <c r="AC67" s="11"/>
      <c r="AD67" s="5"/>
      <c r="AE67" s="5"/>
      <c r="AF67" s="11"/>
      <c r="AG67" s="11"/>
      <c r="AH67" s="120"/>
      <c r="AI67" s="5"/>
    </row>
    <row r="68" spans="4:35" ht="15.65" x14ac:dyDescent="0.3">
      <c r="D68" s="5"/>
      <c r="E68" s="8"/>
      <c r="F68" s="8"/>
      <c r="G68" s="8"/>
      <c r="H68" s="8"/>
      <c r="I68" s="1"/>
      <c r="J68" s="1"/>
      <c r="K68" s="1"/>
      <c r="L68" s="1"/>
      <c r="M68" s="1"/>
      <c r="N68" s="1"/>
      <c r="O68" s="1"/>
      <c r="P68" s="19"/>
      <c r="R68" s="5"/>
      <c r="S68" s="16"/>
      <c r="T68" s="16"/>
      <c r="U68" s="16"/>
      <c r="V68" s="16"/>
      <c r="W68" s="16"/>
      <c r="X68" s="22"/>
      <c r="Y68" s="5"/>
      <c r="Z68" s="78"/>
      <c r="AA68" s="11"/>
      <c r="AB68" s="11"/>
      <c r="AC68" s="11"/>
      <c r="AD68" s="5"/>
      <c r="AE68" s="5"/>
      <c r="AF68" s="11"/>
      <c r="AG68" s="11"/>
      <c r="AH68" s="120"/>
      <c r="AI68" s="5"/>
    </row>
    <row r="69" spans="4:35" ht="15.65" x14ac:dyDescent="0.3">
      <c r="D69" s="5"/>
      <c r="E69" s="8"/>
      <c r="F69" s="8"/>
      <c r="G69" s="8"/>
      <c r="H69" s="8"/>
      <c r="I69" s="1"/>
      <c r="J69" s="1"/>
      <c r="K69" s="1"/>
      <c r="L69" s="1"/>
      <c r="M69" s="1"/>
      <c r="N69" s="1"/>
      <c r="O69" s="1"/>
      <c r="P69" s="19"/>
      <c r="R69" s="5"/>
      <c r="S69" s="16"/>
      <c r="T69" s="16"/>
      <c r="U69" s="16"/>
      <c r="V69" s="16"/>
      <c r="W69" s="16"/>
      <c r="X69" s="22"/>
      <c r="Y69" s="5"/>
      <c r="Z69" s="78"/>
      <c r="AA69" s="16"/>
      <c r="AB69" s="16"/>
      <c r="AC69" s="16"/>
      <c r="AD69" s="5"/>
      <c r="AE69" s="5"/>
      <c r="AF69" s="16"/>
      <c r="AG69" s="16"/>
      <c r="AH69" s="120"/>
      <c r="AI69" s="5"/>
    </row>
    <row r="70" spans="4:35" x14ac:dyDescent="0.3">
      <c r="T70" s="16"/>
      <c r="U70" s="16"/>
      <c r="V70" s="16"/>
      <c r="W70" s="16"/>
      <c r="Y70" s="5"/>
    </row>
    <row r="71" spans="4:35" x14ac:dyDescent="0.3">
      <c r="T71" s="16"/>
      <c r="U71" s="16"/>
      <c r="V71" s="16"/>
      <c r="W71" s="16"/>
      <c r="Y71" s="5"/>
    </row>
  </sheetData>
  <sheetProtection formatCells="0" formatColumns="0" formatRows="0" insertColumns="0" insertRows="0" deleteRows="0" autoFilter="0"/>
  <protectedRanges>
    <protectedRange sqref="AA4" name="date"/>
    <protectedRange sqref="T39:V47" name="order info"/>
    <protectedRange sqref="AH6:AH38" name="in Prepool"/>
    <protectedRange sqref="AA4" name="pool constant"/>
    <protectedRange sqref="T2" name="date_1"/>
  </protectedRanges>
  <autoFilter ref="B5:AI38" xr:uid="{00000000-0009-0000-0000-000002000000}"/>
  <mergeCells count="1">
    <mergeCell ref="T2:U2"/>
  </mergeCells>
  <conditionalFormatting sqref="V4">
    <cfRule type="cellIs" dxfId="31" priority="6" operator="greaterThan">
      <formula>0</formula>
    </cfRule>
  </conditionalFormatting>
  <conditionalFormatting sqref="AA6:AA38">
    <cfRule type="cellIs" dxfId="30" priority="1" operator="between">
      <formula>2</formula>
      <formula>$E6/2</formula>
    </cfRule>
    <cfRule type="cellIs" dxfId="29" priority="2" stopIfTrue="1" operator="equal">
      <formula>""</formula>
    </cfRule>
    <cfRule type="expression" dxfId="28" priority="3" stopIfTrue="1">
      <formula>ISTEXT(AA6)</formula>
    </cfRule>
    <cfRule type="cellIs" dxfId="27" priority="4" stopIfTrue="1" operator="greaterThan">
      <formula>$E6</formula>
    </cfRule>
    <cfRule type="cellIs" dxfId="26" priority="5" operator="greaterThan">
      <formula>$E6/2</formula>
    </cfRule>
  </conditionalFormatting>
  <conditionalFormatting sqref="AA69 AC69">
    <cfRule type="cellIs" dxfId="25" priority="30" stopIfTrue="1" operator="greaterThan">
      <formula>#REF!</formula>
    </cfRule>
    <cfRule type="cellIs" dxfId="24" priority="31" operator="greaterThan">
      <formula>#REF!/2</formula>
    </cfRule>
  </conditionalFormatting>
  <conditionalFormatting sqref="AF69:AG69">
    <cfRule type="cellIs" dxfId="23" priority="13" stopIfTrue="1" operator="greaterThan">
      <formula>#REF!</formula>
    </cfRule>
    <cfRule type="cellIs" dxfId="22" priority="14" operator="greaterThan">
      <formula>#REF!/2</formula>
    </cfRule>
  </conditionalFormatting>
  <conditionalFormatting sqref="AH6:AH38">
    <cfRule type="expression" dxfId="21" priority="8" stopIfTrue="1">
      <formula>AND(AH6&gt;0,AI6&gt;0)</formula>
    </cfRule>
    <cfRule type="expression" dxfId="20" priority="9">
      <formula>AI6&gt;0</formula>
    </cfRule>
  </conditionalFormatting>
  <conditionalFormatting sqref="AI6:AI38">
    <cfRule type="cellIs" dxfId="19" priority="11" operator="greaterThan">
      <formula>0</formula>
    </cfRule>
  </conditionalFormatting>
  <pageMargins left="1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I71"/>
  <sheetViews>
    <sheetView zoomScaleNormal="100" workbookViewId="0">
      <pane xSplit="3" ySplit="5" topLeftCell="J6" activePane="bottomRight" state="frozen"/>
      <selection pane="topRight" activeCell="AA4" sqref="AA4"/>
      <selection pane="bottomLeft" activeCell="AA4" sqref="AA4"/>
      <selection pane="bottomRight" activeCell="AH7" sqref="AH7"/>
    </sheetView>
  </sheetViews>
  <sheetFormatPr defaultColWidth="9.44140625" defaultRowHeight="15.05" x14ac:dyDescent="0.3"/>
  <cols>
    <col min="1" max="2" width="7.5546875" customWidth="1"/>
    <col min="3" max="3" width="4.44140625" style="2" customWidth="1"/>
    <col min="4" max="4" width="6.44140625" customWidth="1"/>
    <col min="5" max="5" width="5.44140625" customWidth="1"/>
    <col min="6" max="6" width="9.44140625" customWidth="1"/>
    <col min="7" max="8" width="7.44140625" customWidth="1"/>
    <col min="9" max="15" width="6.44140625" customWidth="1"/>
    <col min="17" max="17" width="9.44140625" style="11"/>
    <col min="18" max="19" width="8.44140625" customWidth="1"/>
    <col min="20" max="22" width="6.44140625" customWidth="1"/>
    <col min="23" max="23" width="14" hidden="1" customWidth="1"/>
    <col min="24" max="24" width="15" customWidth="1"/>
    <col min="25" max="25" width="8" customWidth="1"/>
    <col min="26" max="26" width="3" style="71" customWidth="1"/>
    <col min="27" max="27" width="7.44140625" customWidth="1"/>
    <col min="28" max="28" width="10.44140625" customWidth="1"/>
    <col min="29" max="29" width="7.44140625" customWidth="1"/>
    <col min="30" max="31" width="8" customWidth="1"/>
    <col min="32" max="33" width="7.44140625" customWidth="1"/>
    <col min="34" max="34" width="8" style="117" customWidth="1"/>
    <col min="35" max="35" width="8" customWidth="1"/>
  </cols>
  <sheetData>
    <row r="1" spans="1:35" x14ac:dyDescent="0.3">
      <c r="A1" s="7"/>
      <c r="B1" s="7"/>
      <c r="C1" s="106"/>
      <c r="T1" s="7" t="s">
        <v>63</v>
      </c>
      <c r="Z1"/>
    </row>
    <row r="2" spans="1:35" x14ac:dyDescent="0.3">
      <c r="A2" s="67" t="s">
        <v>30</v>
      </c>
      <c r="C2" s="107"/>
      <c r="T2" s="233">
        <f>'Final Pool'!$T$2</f>
        <v>45982</v>
      </c>
      <c r="U2" s="233"/>
      <c r="Z2" s="3">
        <f ca="1">COUNT(Z6:Z39)</f>
        <v>0</v>
      </c>
      <c r="AA2">
        <f ca="1">COUNTIF(AA6:AA39,"&gt;2")</f>
        <v>7</v>
      </c>
      <c r="AH2" s="117" t="s">
        <v>76</v>
      </c>
    </row>
    <row r="3" spans="1:35" x14ac:dyDescent="0.3">
      <c r="A3" s="95"/>
      <c r="B3" s="96"/>
      <c r="C3" s="98"/>
      <c r="D3" s="97" t="s">
        <v>2</v>
      </c>
      <c r="E3" s="96"/>
      <c r="F3" s="96"/>
      <c r="G3" s="96"/>
      <c r="H3" s="96"/>
      <c r="I3" s="96"/>
      <c r="J3" s="96"/>
      <c r="K3" s="96"/>
      <c r="L3" s="96"/>
      <c r="M3" s="96"/>
      <c r="N3" s="96"/>
      <c r="O3" s="116" t="str">
        <f>INPUTS!O3</f>
        <v>Empirical</v>
      </c>
      <c r="P3" s="116" t="str">
        <f>INPUTS!P3</f>
        <v>Use</v>
      </c>
      <c r="Q3" s="140"/>
      <c r="R3" s="96" t="s">
        <v>32</v>
      </c>
      <c r="S3" s="99"/>
      <c r="T3" s="169"/>
      <c r="U3" s="101"/>
      <c r="V3" s="101"/>
      <c r="W3" s="101"/>
      <c r="X3" s="100" t="s">
        <v>33</v>
      </c>
      <c r="Y3" s="96"/>
      <c r="Z3" s="72"/>
      <c r="AA3" s="15" t="s">
        <v>34</v>
      </c>
      <c r="AB3" s="32"/>
      <c r="AC3" s="12"/>
      <c r="AD3" s="4"/>
      <c r="AE3" s="13"/>
      <c r="AF3" s="12"/>
      <c r="AG3" s="12"/>
      <c r="AH3" s="116" t="s">
        <v>77</v>
      </c>
      <c r="AI3" s="122" t="s">
        <v>78</v>
      </c>
    </row>
    <row r="4" spans="1:35" x14ac:dyDescent="0.3">
      <c r="A4" s="9"/>
      <c r="B4" s="7" t="s">
        <v>5</v>
      </c>
      <c r="C4" s="106"/>
      <c r="D4" s="112" t="str">
        <f>INPUTS!D4</f>
        <v>Final</v>
      </c>
      <c r="E4" s="112" t="str">
        <f>INPUTS!E4</f>
        <v>Total</v>
      </c>
      <c r="F4" s="112"/>
      <c r="G4" s="112"/>
      <c r="H4" s="112"/>
      <c r="I4" s="112" t="str">
        <f>INPUTS!I4</f>
        <v>lowMW=primer</v>
      </c>
      <c r="J4" s="112" t="str">
        <f>INPUTS!J4</f>
        <v>AdDimer</v>
      </c>
      <c r="K4" s="112" t="str">
        <f>INPUTS!K4</f>
        <v>Library</v>
      </c>
      <c r="L4" s="112" t="str">
        <f>INPUTS!L4</f>
        <v>Total</v>
      </c>
      <c r="M4" s="112"/>
      <c r="N4" s="112"/>
      <c r="O4" s="117" t="str">
        <f>INPUTS!O4</f>
        <v>Library</v>
      </c>
      <c r="P4" s="117" t="str">
        <f>INPUTS!P4</f>
        <v>Library</v>
      </c>
      <c r="Q4" s="117" t="s">
        <v>79</v>
      </c>
      <c r="R4" s="50">
        <v>0.05</v>
      </c>
      <c r="S4" s="14"/>
      <c r="T4" s="139"/>
      <c r="U4" s="11"/>
      <c r="V4" s="11">
        <f ca="1">COUNTIF(W6:W38,"&gt;1")</f>
        <v>0</v>
      </c>
      <c r="W4" s="11"/>
      <c r="X4" s="18"/>
      <c r="Z4" s="73" t="s">
        <v>37</v>
      </c>
      <c r="AA4" s="82">
        <v>0.4</v>
      </c>
      <c r="AB4" s="33"/>
      <c r="AE4" s="17"/>
      <c r="AG4" t="s">
        <v>39</v>
      </c>
      <c r="AH4" s="117" t="s">
        <v>80</v>
      </c>
      <c r="AI4" s="123" t="s">
        <v>81</v>
      </c>
    </row>
    <row r="5" spans="1:35" ht="15.65" thickBot="1" x14ac:dyDescent="0.35">
      <c r="A5" s="29" t="s">
        <v>41</v>
      </c>
      <c r="B5" s="30" t="s">
        <v>15</v>
      </c>
      <c r="C5" s="108" t="s">
        <v>42</v>
      </c>
      <c r="D5" s="65" t="str">
        <f>INPUTS!D5</f>
        <v>ng/ul</v>
      </c>
      <c r="E5" s="65" t="str">
        <f>INPUTS!E5</f>
        <v>vol</v>
      </c>
      <c r="F5" s="65" t="str">
        <f>INPUTS!F5</f>
        <v>UDI: Plate_Well</v>
      </c>
      <c r="G5" s="65" t="str">
        <f>INPUTS!G5</f>
        <v>notes</v>
      </c>
      <c r="H5" s="65" t="str">
        <f>INPUTS!H5</f>
        <v>Adj peak size</v>
      </c>
      <c r="I5" s="65" t="str">
        <f>INPUTS!I5</f>
        <v>%ofLib</v>
      </c>
      <c r="J5" s="65" t="str">
        <f>INPUTS!J5</f>
        <v>nM</v>
      </c>
      <c r="K5" s="65" t="str">
        <f>INPUTS!K5</f>
        <v>nM</v>
      </c>
      <c r="L5" s="65" t="str">
        <f>INPUTS!L5</f>
        <v>nM</v>
      </c>
      <c r="M5" s="65" t="str">
        <f>INPUTS!M5</f>
        <v>final#</v>
      </c>
      <c r="N5" s="65" t="str">
        <f>INPUTS!N5</f>
        <v>storage</v>
      </c>
      <c r="O5" s="23" t="str">
        <f>INPUTS!O5</f>
        <v>nM</v>
      </c>
      <c r="P5" s="23" t="str">
        <f>INPUTS!P5</f>
        <v>nM</v>
      </c>
      <c r="Q5" s="23" t="str">
        <f>INPUTS!Q5</f>
        <v>Reads (M)</v>
      </c>
      <c r="R5" s="25" t="s">
        <v>43</v>
      </c>
      <c r="S5" s="26" t="s">
        <v>44</v>
      </c>
      <c r="T5" s="24" t="s">
        <v>14</v>
      </c>
      <c r="U5" s="25" t="s">
        <v>45</v>
      </c>
      <c r="V5" s="25" t="s">
        <v>46</v>
      </c>
      <c r="W5" s="25"/>
      <c r="X5" s="31" t="s">
        <v>47</v>
      </c>
      <c r="Y5" s="65" t="s">
        <v>48</v>
      </c>
      <c r="Z5" s="74"/>
      <c r="AA5" s="24" t="s">
        <v>18</v>
      </c>
      <c r="AB5" s="26"/>
      <c r="AC5" s="27" t="s">
        <v>49</v>
      </c>
      <c r="AD5" s="25" t="s">
        <v>50</v>
      </c>
      <c r="AE5" s="26" t="s">
        <v>51</v>
      </c>
      <c r="AF5" s="27" t="s">
        <v>52</v>
      </c>
      <c r="AG5" s="27" t="s">
        <v>53</v>
      </c>
      <c r="AH5" s="23" t="s">
        <v>82</v>
      </c>
      <c r="AI5" s="124" t="s">
        <v>61</v>
      </c>
    </row>
    <row r="6" spans="1:35" ht="15.65" x14ac:dyDescent="0.3">
      <c r="A6" s="36" t="str">
        <f>IF(INPUTS!A6=0,"none",INPUTS!A6)</f>
        <v>7050I</v>
      </c>
      <c r="B6" s="36" t="str">
        <f>IF(INPUTS!B6=0,"none",INPUTS!B6)</f>
        <v>EF19</v>
      </c>
      <c r="C6" s="109">
        <f>IF(B6="none",0,MATCH(B6,INPUTS!$B$6:$B$69,0))</f>
        <v>1</v>
      </c>
      <c r="D6" s="94">
        <f ca="1">IF($C6=0,"",OFFSET(INPUTS!D$5,$C6,0))</f>
        <v>1.7766</v>
      </c>
      <c r="E6" s="94">
        <f ca="1">IF($C6=0,"",OFFSET(INPUTS!E$5,$C6,0))</f>
        <v>20</v>
      </c>
      <c r="F6" s="115" t="str">
        <f ca="1">IF($C6=0,"",OFFSET(INPUTS!F$5,$C6,0))</f>
        <v>P4_A05</v>
      </c>
      <c r="G6" s="115">
        <f ca="1">IF($C6=0,"",OFFSET(INPUTS!G$5,$C6,0))</f>
        <v>0</v>
      </c>
      <c r="H6" s="94">
        <f ca="1">IF($C6=0,"",OFFSET(INPUTS!H$5,$C6,0))</f>
        <v>198</v>
      </c>
      <c r="I6" s="94">
        <f ca="1">IF($C6=0,"",OFFSET(INPUTS!I$5,$C6,0))</f>
        <v>0</v>
      </c>
      <c r="J6" s="94">
        <f ca="1">IF($C6=0,"",OFFSET(INPUTS!J$5,$C6,0))</f>
        <v>0</v>
      </c>
      <c r="K6" s="114">
        <f ca="1">IF($C6=0,"",OFFSET(INPUTS!K$5,$C6,0))</f>
        <v>13.595041322314049</v>
      </c>
      <c r="L6" s="114">
        <f ca="1">IF($C6=0,"",OFFSET(INPUTS!L$5,$C6,0))</f>
        <v>13.595041322314049</v>
      </c>
      <c r="M6" s="94">
        <f ca="1">IF($C6=0,"",OFFSET(INPUTS!M$5,$C6,0))</f>
        <v>0</v>
      </c>
      <c r="N6" s="94">
        <f ca="1">IF($C6=0,"",OFFSET(INPUTS!N$5,$C6,0))</f>
        <v>0</v>
      </c>
      <c r="O6" s="94" t="str">
        <f ca="1">IF($C6=0,"",OFFSET(INPUTS!O$5,$C6,0))</f>
        <v>nd</v>
      </c>
      <c r="P6" s="114">
        <f ca="1">IF($C6=0,"",OFFSET(INPUTS!P$5,$C6,0))</f>
        <v>13.595041322314049</v>
      </c>
      <c r="Q6" s="141">
        <f ca="1">IF($C6=0,"",OFFSET(INPUTS!Q$5,$C6,0))</f>
        <v>100</v>
      </c>
      <c r="R6" s="37">
        <f ca="1">IF($C6=0,"",$P6-($J6*R$4))</f>
        <v>13.595041322314049</v>
      </c>
      <c r="S6" s="38">
        <f ca="1">SUM(J6,R6)</f>
        <v>13.595041322314049</v>
      </c>
      <c r="T6" s="128" t="str">
        <f t="shared" ref="T6:T21" si="0">IF(A6=0,"",A6)</f>
        <v>7050I</v>
      </c>
      <c r="U6" s="127" t="str">
        <f t="shared" ref="U6:U21" ca="1" si="1">IF(M6=0,"",M6)</f>
        <v/>
      </c>
      <c r="V6" s="151" t="str">
        <f ca="1">IF(F6=0,"",F6&amp;IF(OR(G6="",G6=0),"","+"&amp;G6))</f>
        <v>P4_A05</v>
      </c>
      <c r="W6" s="130" t="str">
        <f t="shared" ref="W6:W34" ca="1" si="2">IF(ISNUMBER(V6),COUNTIF($V$6:$V$38,V6),"")</f>
        <v/>
      </c>
      <c r="X6" s="39" t="str">
        <f t="shared" ref="X6:X38" si="3">$B6</f>
        <v>EF19</v>
      </c>
      <c r="Y6" s="35" t="str">
        <f ca="1">IF(N6=0,"",N6)</f>
        <v/>
      </c>
      <c r="Z6" s="75" t="str">
        <f t="shared" ref="Z6:Z21" ca="1" si="4">IF($AH6=0,"",IF($R6="","",IF(AF6&lt;0.2,10,IF(AF6&lt;0.795,5,""))))</f>
        <v/>
      </c>
      <c r="AA6" s="152">
        <f t="shared" ref="AA6:AA21" ca="1" si="5">IF($AH6=0,"",IF($R6="","",AF6*IF($Z6="",1,$Z6)))</f>
        <v>2.9422492401215807</v>
      </c>
      <c r="AB6" s="171">
        <f ca="1">IF(ISNUMBER(AA6),RANK(AA6,$AA$6:$AA$38,0),"")</f>
        <v>4</v>
      </c>
      <c r="AC6" s="41">
        <f t="shared" ref="AC6:AC21" ca="1" si="6">IF($AH6=0,"",IF($R6="","",R6*$AA6/IF($Z6="",1,$Z6)))</f>
        <v>40</v>
      </c>
      <c r="AD6" s="35">
        <f t="shared" ref="AD6:AD21" ca="1" si="7">IF($AH6=0,"",IF($R6="","",S6*$AA6/IF($Z6="",1,$Z6)))</f>
        <v>40</v>
      </c>
      <c r="AE6" s="42">
        <f t="shared" ref="AE6:AE21" ca="1" si="8">IF($AH6=0,"",IF($R6="","",D6*$AA6/IF($Z6="",1,$Z6)))</f>
        <v>5.2271999999999998</v>
      </c>
      <c r="AF6" s="146">
        <f ca="1">IF(R6="","",$AA$4/R6*Q6)</f>
        <v>2.9422492401215807</v>
      </c>
      <c r="AG6" s="35">
        <f ca="1">IF($AH6=0,"",Q6)</f>
        <v>100</v>
      </c>
      <c r="AH6" s="118">
        <v>1</v>
      </c>
      <c r="AI6" s="125">
        <f>IF(C$6=0,0,SUMIF('Prepool 1'!$X$5:$X$38,X6,'Prepool 1'!$AH$5:$AH$38))</f>
        <v>0</v>
      </c>
    </row>
    <row r="7" spans="1:35" ht="15.65" x14ac:dyDescent="0.3">
      <c r="A7" s="36" t="str">
        <f>IF(INPUTS!A7=0,"none",INPUTS!A7)</f>
        <v>7050I</v>
      </c>
      <c r="B7" s="36" t="str">
        <f>IF(INPUTS!B7=0,"none",INPUTS!B7)</f>
        <v>EF20</v>
      </c>
      <c r="C7" s="109">
        <f>IF(B7="none",0,MATCH(B7,INPUTS!$B$6:$B$69,0))</f>
        <v>2</v>
      </c>
      <c r="D7" s="94">
        <f ca="1">IF($C7=0,"",OFFSET(INPUTS!D$5,$C7,0))</f>
        <v>1.7037200000000001</v>
      </c>
      <c r="E7" s="94">
        <f ca="1">IF($C7=0,"",OFFSET(INPUTS!E$5,$C7,0))</f>
        <v>20</v>
      </c>
      <c r="F7" s="115" t="str">
        <f ca="1">IF($C7=0,"",OFFSET(INPUTS!F$5,$C7,0))</f>
        <v>P4_B05</v>
      </c>
      <c r="G7" s="115">
        <f ca="1">IF($C7=0,"",OFFSET(INPUTS!G$5,$C7,0))</f>
        <v>0</v>
      </c>
      <c r="H7" s="94">
        <f ca="1">IF($C7=0,"",OFFSET(INPUTS!H$5,$C7,0))</f>
        <v>198</v>
      </c>
      <c r="I7" s="94">
        <f ca="1">IF($C7=0,"",OFFSET(INPUTS!I$5,$C7,0))</f>
        <v>0</v>
      </c>
      <c r="J7" s="94">
        <f ca="1">IF($C7=0,"",OFFSET(INPUTS!J$5,$C7,0))</f>
        <v>0</v>
      </c>
      <c r="K7" s="114">
        <f ca="1">IF($C7=0,"",OFFSET(INPUTS!K$5,$C7,0))</f>
        <v>13.037343128252221</v>
      </c>
      <c r="L7" s="114">
        <f ca="1">IF($C7=0,"",OFFSET(INPUTS!L$5,$C7,0))</f>
        <v>13.037343128252221</v>
      </c>
      <c r="M7" s="94">
        <f ca="1">IF($C7=0,"",OFFSET(INPUTS!M$5,$C7,0))</f>
        <v>0</v>
      </c>
      <c r="N7" s="94">
        <f ca="1">IF($C7=0,"",OFFSET(INPUTS!N$5,$C7,0))</f>
        <v>0</v>
      </c>
      <c r="O7" s="94" t="str">
        <f ca="1">IF($C7=0,"",OFFSET(INPUTS!O$5,$C7,0))</f>
        <v>nd</v>
      </c>
      <c r="P7" s="114">
        <f ca="1">IF($C7=0,"",OFFSET(INPUTS!P$5,$C7,0))</f>
        <v>13.037343128252221</v>
      </c>
      <c r="Q7" s="141">
        <f ca="1">IF($C7=0,"",OFFSET(INPUTS!Q$5,$C7,0))</f>
        <v>10</v>
      </c>
      <c r="R7" s="37">
        <f t="shared" ref="R7:R38" ca="1" si="9">IF($C7=0,"",$P7-($J7*R$4))</f>
        <v>13.037343128252221</v>
      </c>
      <c r="S7" s="38">
        <f t="shared" ref="S7:S21" ca="1" si="10">SUM(J7,R7)</f>
        <v>13.037343128252221</v>
      </c>
      <c r="T7" s="129" t="str">
        <f t="shared" si="0"/>
        <v>7050I</v>
      </c>
      <c r="U7" s="126" t="str">
        <f t="shared" ca="1" si="1"/>
        <v/>
      </c>
      <c r="V7" s="151" t="str">
        <f t="shared" ref="V7:V34" ca="1" si="11">IF(F7=0,"",F7&amp;IF(OR(G7="",G7=0),"","+"&amp;G7))</f>
        <v>P4_B05</v>
      </c>
      <c r="W7" s="131" t="str">
        <f t="shared" ca="1" si="2"/>
        <v/>
      </c>
      <c r="X7" s="39" t="str">
        <f t="shared" si="3"/>
        <v>EF20</v>
      </c>
      <c r="Y7" s="35" t="str">
        <f t="shared" ref="Y7:Y21" ca="1" si="12">IF(N7=0,"",N7)</f>
        <v/>
      </c>
      <c r="Z7" s="75" t="str">
        <f t="shared" si="4"/>
        <v/>
      </c>
      <c r="AA7" s="40" t="str">
        <f t="shared" si="5"/>
        <v/>
      </c>
      <c r="AB7" s="171" t="str">
        <f t="shared" ref="AB7:AB34" si="13">IF(ISNUMBER(AA7),RANK(AA7,$AA$6:$AA$38,0),"")</f>
        <v/>
      </c>
      <c r="AC7" s="41" t="str">
        <f t="shared" si="6"/>
        <v/>
      </c>
      <c r="AD7" s="35" t="str">
        <f t="shared" si="7"/>
        <v/>
      </c>
      <c r="AE7" s="42" t="str">
        <f t="shared" si="8"/>
        <v/>
      </c>
      <c r="AF7" s="146">
        <f t="shared" ref="AF7:AF21" ca="1" si="14">IF(R7="","",$AA$4/R7*Q7)</f>
        <v>0.30681097832977244</v>
      </c>
      <c r="AG7" s="35" t="str">
        <f t="shared" ref="AG7:AG21" si="15">IF($AH7=0,"",Q7)</f>
        <v/>
      </c>
      <c r="AH7" s="118">
        <v>0</v>
      </c>
      <c r="AI7" s="125">
        <f>IF(C$6=0,0,SUMIF('Prepool 1'!$X$5:$X$38,X7,'Prepool 1'!$AH$5:$AH$38))</f>
        <v>1</v>
      </c>
    </row>
    <row r="8" spans="1:35" ht="15.65" x14ac:dyDescent="0.3">
      <c r="A8" s="36" t="str">
        <f>IF(INPUTS!A8=0,"none",INPUTS!A8)</f>
        <v>7050I</v>
      </c>
      <c r="B8" s="36" t="str">
        <f>IF(INPUTS!B8=0,"none",INPUTS!B8)</f>
        <v>EF21</v>
      </c>
      <c r="C8" s="109">
        <f>IF(B8="none",0,MATCH(B8,INPUTS!$B$6:$B$69,0))</f>
        <v>3</v>
      </c>
      <c r="D8" s="94">
        <f ca="1">IF($C8=0,"",OFFSET(INPUTS!D$5,$C8,0))</f>
        <v>1.61175</v>
      </c>
      <c r="E8" s="94">
        <f ca="1">IF($C8=0,"",OFFSET(INPUTS!E$5,$C8,0))</f>
        <v>20</v>
      </c>
      <c r="F8" s="115" t="str">
        <f ca="1">IF($C8=0,"",OFFSET(INPUTS!F$5,$C8,0))</f>
        <v>P4_C05</v>
      </c>
      <c r="G8" s="115">
        <f ca="1">IF($C8=0,"",OFFSET(INPUTS!G$5,$C8,0))</f>
        <v>0</v>
      </c>
      <c r="H8" s="94">
        <f ca="1">IF($C8=0,"",OFFSET(INPUTS!H$5,$C8,0))</f>
        <v>198</v>
      </c>
      <c r="I8" s="94">
        <f ca="1">IF($C8=0,"",OFFSET(INPUTS!I$5,$C8,0))</f>
        <v>0</v>
      </c>
      <c r="J8" s="94">
        <f ca="1">IF($C8=0,"",OFFSET(INPUTS!J$5,$C8,0))</f>
        <v>0</v>
      </c>
      <c r="K8" s="114">
        <f ca="1">IF($C8=0,"",OFFSET(INPUTS!K$5,$C8,0))</f>
        <v>12.33356290174472</v>
      </c>
      <c r="L8" s="114">
        <f ca="1">IF($C8=0,"",OFFSET(INPUTS!L$5,$C8,0))</f>
        <v>12.33356290174472</v>
      </c>
      <c r="M8" s="94">
        <f ca="1">IF($C8=0,"",OFFSET(INPUTS!M$5,$C8,0))</f>
        <v>0</v>
      </c>
      <c r="N8" s="94">
        <f ca="1">IF($C8=0,"",OFFSET(INPUTS!N$5,$C8,0))</f>
        <v>0</v>
      </c>
      <c r="O8" s="94" t="str">
        <f ca="1">IF($C8=0,"",OFFSET(INPUTS!O$5,$C8,0))</f>
        <v>nd</v>
      </c>
      <c r="P8" s="114">
        <f ca="1">IF($C8=0,"",OFFSET(INPUTS!P$5,$C8,0))</f>
        <v>12.33356290174472</v>
      </c>
      <c r="Q8" s="141">
        <f ca="1">IF($C8=0,"",OFFSET(INPUTS!Q$5,$C8,0))</f>
        <v>100</v>
      </c>
      <c r="R8" s="37">
        <f t="shared" ca="1" si="9"/>
        <v>12.33356290174472</v>
      </c>
      <c r="S8" s="38">
        <f t="shared" ca="1" si="10"/>
        <v>12.33356290174472</v>
      </c>
      <c r="T8" s="129" t="str">
        <f t="shared" si="0"/>
        <v>7050I</v>
      </c>
      <c r="U8" s="126" t="str">
        <f t="shared" ca="1" si="1"/>
        <v/>
      </c>
      <c r="V8" s="151" t="str">
        <f t="shared" ca="1" si="11"/>
        <v>P4_C05</v>
      </c>
      <c r="W8" s="131" t="str">
        <f t="shared" ca="1" si="2"/>
        <v/>
      </c>
      <c r="X8" s="39" t="str">
        <f t="shared" si="3"/>
        <v>EF21</v>
      </c>
      <c r="Y8" s="35" t="str">
        <f t="shared" ca="1" si="12"/>
        <v/>
      </c>
      <c r="Z8" s="75" t="str">
        <f t="shared" ca="1" si="4"/>
        <v/>
      </c>
      <c r="AA8" s="40">
        <f t="shared" ca="1" si="5"/>
        <v>3.2431828757561654</v>
      </c>
      <c r="AB8" s="171">
        <f t="shared" ca="1" si="13"/>
        <v>3</v>
      </c>
      <c r="AC8" s="41">
        <f t="shared" ca="1" si="6"/>
        <v>40</v>
      </c>
      <c r="AD8" s="35">
        <f t="shared" ca="1" si="7"/>
        <v>40</v>
      </c>
      <c r="AE8" s="42">
        <f t="shared" ca="1" si="8"/>
        <v>5.2271999999999998</v>
      </c>
      <c r="AF8" s="146">
        <f t="shared" ca="1" si="14"/>
        <v>3.2431828757561654</v>
      </c>
      <c r="AG8" s="35">
        <f t="shared" ca="1" si="15"/>
        <v>100</v>
      </c>
      <c r="AH8" s="118">
        <v>1</v>
      </c>
      <c r="AI8" s="125">
        <f>IF(C$6=0,0,SUMIF('Prepool 1'!$X$5:$X$38,X8,'Prepool 1'!$AH$5:$AH$38))</f>
        <v>0</v>
      </c>
    </row>
    <row r="9" spans="1:35" ht="15.65" x14ac:dyDescent="0.3">
      <c r="A9" s="36" t="str">
        <f>IF(INPUTS!A9=0,"none",INPUTS!A9)</f>
        <v>7050I</v>
      </c>
      <c r="B9" s="36" t="str">
        <f>IF(INPUTS!B9=0,"none",INPUTS!B9)</f>
        <v>EF22</v>
      </c>
      <c r="C9" s="109">
        <f>IF(B9="none",0,MATCH(B9,INPUTS!$B$6:$B$69,0))</f>
        <v>4</v>
      </c>
      <c r="D9" s="94">
        <f ca="1">IF($C9=0,"",OFFSET(INPUTS!D$5,$C9,0))</f>
        <v>2.2723200000000001</v>
      </c>
      <c r="E9" s="94">
        <f ca="1">IF($C9=0,"",OFFSET(INPUTS!E$5,$C9,0))</f>
        <v>20</v>
      </c>
      <c r="F9" s="115" t="str">
        <f ca="1">IF($C9=0,"",OFFSET(INPUTS!F$5,$C9,0))</f>
        <v>P4_D05</v>
      </c>
      <c r="G9" s="115">
        <f ca="1">IF($C9=0,"",OFFSET(INPUTS!G$5,$C9,0))</f>
        <v>0</v>
      </c>
      <c r="H9" s="94">
        <f ca="1">IF($C9=0,"",OFFSET(INPUTS!H$5,$C9,0))</f>
        <v>196</v>
      </c>
      <c r="I9" s="94">
        <f ca="1">IF($C9=0,"",OFFSET(INPUTS!I$5,$C9,0))</f>
        <v>0</v>
      </c>
      <c r="J9" s="94">
        <f ca="1">IF($C9=0,"",OFFSET(INPUTS!J$5,$C9,0))</f>
        <v>0</v>
      </c>
      <c r="K9" s="114">
        <f ca="1">IF($C9=0,"",OFFSET(INPUTS!K$5,$C9,0))</f>
        <v>17.565862708719852</v>
      </c>
      <c r="L9" s="114">
        <f ca="1">IF($C9=0,"",OFFSET(INPUTS!L$5,$C9,0))</f>
        <v>17.565862708719852</v>
      </c>
      <c r="M9" s="94">
        <f ca="1">IF($C9=0,"",OFFSET(INPUTS!M$5,$C9,0))</f>
        <v>0</v>
      </c>
      <c r="N9" s="94">
        <f ca="1">IF($C9=0,"",OFFSET(INPUTS!N$5,$C9,0))</f>
        <v>0</v>
      </c>
      <c r="O9" s="94" t="str">
        <f ca="1">IF($C9=0,"",OFFSET(INPUTS!O$5,$C9,0))</f>
        <v>nd</v>
      </c>
      <c r="P9" s="114">
        <f ca="1">IF($C9=0,"",OFFSET(INPUTS!P$5,$C9,0))</f>
        <v>17.565862708719852</v>
      </c>
      <c r="Q9" s="141">
        <f ca="1">IF($C9=0,"",OFFSET(INPUTS!Q$5,$C9,0))</f>
        <v>10</v>
      </c>
      <c r="R9" s="37">
        <f t="shared" ca="1" si="9"/>
        <v>17.565862708719852</v>
      </c>
      <c r="S9" s="38">
        <f t="shared" ca="1" si="10"/>
        <v>17.565862708719852</v>
      </c>
      <c r="T9" s="129" t="str">
        <f t="shared" si="0"/>
        <v>7050I</v>
      </c>
      <c r="U9" s="126" t="str">
        <f t="shared" ca="1" si="1"/>
        <v/>
      </c>
      <c r="V9" s="151" t="str">
        <f t="shared" ca="1" si="11"/>
        <v>P4_D05</v>
      </c>
      <c r="W9" s="131" t="str">
        <f t="shared" ca="1" si="2"/>
        <v/>
      </c>
      <c r="X9" s="39" t="str">
        <f t="shared" si="3"/>
        <v>EF22</v>
      </c>
      <c r="Y9" s="35" t="str">
        <f t="shared" ca="1" si="12"/>
        <v/>
      </c>
      <c r="Z9" s="75" t="str">
        <f t="shared" si="4"/>
        <v/>
      </c>
      <c r="AA9" s="40" t="str">
        <f t="shared" si="5"/>
        <v/>
      </c>
      <c r="AB9" s="171" t="str">
        <f t="shared" si="13"/>
        <v/>
      </c>
      <c r="AC9" s="41" t="str">
        <f t="shared" si="6"/>
        <v/>
      </c>
      <c r="AD9" s="35" t="str">
        <f t="shared" si="7"/>
        <v/>
      </c>
      <c r="AE9" s="42" t="str">
        <f t="shared" si="8"/>
        <v/>
      </c>
      <c r="AF9" s="146">
        <f t="shared" ca="1" si="14"/>
        <v>0.22771440642163077</v>
      </c>
      <c r="AG9" s="35" t="str">
        <f t="shared" si="15"/>
        <v/>
      </c>
      <c r="AH9" s="118">
        <v>0</v>
      </c>
      <c r="AI9" s="125">
        <f>IF(C$6=0,0,SUMIF('Prepool 1'!$X$5:$X$38,X9,'Prepool 1'!$AH$5:$AH$38))</f>
        <v>1</v>
      </c>
    </row>
    <row r="10" spans="1:35" ht="15.65" x14ac:dyDescent="0.3">
      <c r="A10" s="36" t="str">
        <f>IF(INPUTS!A10=0,"none",INPUTS!A10)</f>
        <v>7050I</v>
      </c>
      <c r="B10" s="36" t="str">
        <f>IF(INPUTS!B10=0,"none",INPUTS!B10)</f>
        <v>EF23</v>
      </c>
      <c r="C10" s="109">
        <f>IF(B10="none",0,MATCH(B10,INPUTS!$B$6:$B$69,0))</f>
        <v>5</v>
      </c>
      <c r="D10" s="94">
        <f ca="1">IF($C10=0,"",OFFSET(INPUTS!D$5,$C10,0))</f>
        <v>2.4557500000000001</v>
      </c>
      <c r="E10" s="94">
        <f ca="1">IF($C10=0,"",OFFSET(INPUTS!E$5,$C10,0))</f>
        <v>20</v>
      </c>
      <c r="F10" s="115" t="str">
        <f ca="1">IF($C10=0,"",OFFSET(INPUTS!F$5,$C10,0))</f>
        <v>P4_E05</v>
      </c>
      <c r="G10" s="115">
        <f ca="1">IF($C10=0,"",OFFSET(INPUTS!G$5,$C10,0))</f>
        <v>0</v>
      </c>
      <c r="H10" s="94">
        <f ca="1">IF($C10=0,"",OFFSET(INPUTS!H$5,$C10,0))</f>
        <v>198</v>
      </c>
      <c r="I10" s="94">
        <f ca="1">IF($C10=0,"",OFFSET(INPUTS!I$5,$C10,0))</f>
        <v>0</v>
      </c>
      <c r="J10" s="94">
        <f ca="1">IF($C10=0,"",OFFSET(INPUTS!J$5,$C10,0))</f>
        <v>0</v>
      </c>
      <c r="K10" s="114">
        <f ca="1">IF($C10=0,"",OFFSET(INPUTS!K$5,$C10,0))</f>
        <v>18.792087542087543</v>
      </c>
      <c r="L10" s="114">
        <f ca="1">IF($C10=0,"",OFFSET(INPUTS!L$5,$C10,0))</f>
        <v>18.792087542087543</v>
      </c>
      <c r="M10" s="94">
        <f ca="1">IF($C10=0,"",OFFSET(INPUTS!M$5,$C10,0))</f>
        <v>0</v>
      </c>
      <c r="N10" s="94">
        <f ca="1">IF($C10=0,"",OFFSET(INPUTS!N$5,$C10,0))</f>
        <v>0</v>
      </c>
      <c r="O10" s="94" t="str">
        <f ca="1">IF($C10=0,"",OFFSET(INPUTS!O$5,$C10,0))</f>
        <v>nd</v>
      </c>
      <c r="P10" s="114">
        <f ca="1">IF($C10=0,"",OFFSET(INPUTS!P$5,$C10,0))</f>
        <v>18.792087542087543</v>
      </c>
      <c r="Q10" s="141">
        <f ca="1">IF($C10=0,"",OFFSET(INPUTS!Q$5,$C10,0))</f>
        <v>100</v>
      </c>
      <c r="R10" s="37">
        <f t="shared" ca="1" si="9"/>
        <v>18.792087542087543</v>
      </c>
      <c r="S10" s="38">
        <f t="shared" ca="1" si="10"/>
        <v>18.792087542087543</v>
      </c>
      <c r="T10" s="129" t="str">
        <f t="shared" si="0"/>
        <v>7050I</v>
      </c>
      <c r="U10" s="126" t="str">
        <f t="shared" ca="1" si="1"/>
        <v/>
      </c>
      <c r="V10" s="151" t="str">
        <f t="shared" ca="1" si="11"/>
        <v>P4_E05</v>
      </c>
      <c r="W10" s="131" t="str">
        <f t="shared" ca="1" si="2"/>
        <v/>
      </c>
      <c r="X10" s="39" t="str">
        <f t="shared" si="3"/>
        <v>EF23</v>
      </c>
      <c r="Y10" s="35" t="str">
        <f t="shared" ca="1" si="12"/>
        <v/>
      </c>
      <c r="Z10" s="75" t="str">
        <f t="shared" ca="1" si="4"/>
        <v/>
      </c>
      <c r="AA10" s="40">
        <f t="shared" ca="1" si="5"/>
        <v>2.1285554311310193</v>
      </c>
      <c r="AB10" s="171">
        <f t="shared" ca="1" si="13"/>
        <v>5</v>
      </c>
      <c r="AC10" s="41">
        <f t="shared" ca="1" si="6"/>
        <v>40.000000000000007</v>
      </c>
      <c r="AD10" s="35">
        <f t="shared" ca="1" si="7"/>
        <v>40.000000000000007</v>
      </c>
      <c r="AE10" s="42">
        <f t="shared" ca="1" si="8"/>
        <v>5.2272000000000007</v>
      </c>
      <c r="AF10" s="146">
        <f t="shared" ca="1" si="14"/>
        <v>2.1285554311310193</v>
      </c>
      <c r="AG10" s="35">
        <f t="shared" ca="1" si="15"/>
        <v>100</v>
      </c>
      <c r="AH10" s="118">
        <v>1</v>
      </c>
      <c r="AI10" s="125">
        <f>IF(C$6=0,0,SUMIF('Prepool 1'!$X$5:$X$38,X10,'Prepool 1'!$AH$5:$AH$38))</f>
        <v>0</v>
      </c>
    </row>
    <row r="11" spans="1:35" ht="15.65" x14ac:dyDescent="0.3">
      <c r="A11" s="36" t="str">
        <f>IF(INPUTS!A11=0,"none",INPUTS!A11)</f>
        <v>7050I</v>
      </c>
      <c r="B11" s="36" t="str">
        <f>IF(INPUTS!B11=0,"none",INPUTS!B11)</f>
        <v>EF24</v>
      </c>
      <c r="C11" s="109">
        <f>IF(B11="none",0,MATCH(B11,INPUTS!$B$6:$B$69,0))</f>
        <v>6</v>
      </c>
      <c r="D11" s="94">
        <f ca="1">IF($C11=0,"",OFFSET(INPUTS!D$5,$C11,0))</f>
        <v>2.3963200000000002</v>
      </c>
      <c r="E11" s="94">
        <f ca="1">IF($C11=0,"",OFFSET(INPUTS!E$5,$C11,0))</f>
        <v>20</v>
      </c>
      <c r="F11" s="115" t="str">
        <f ca="1">IF($C11=0,"",OFFSET(INPUTS!F$5,$C11,0))</f>
        <v>P4_F05</v>
      </c>
      <c r="G11" s="115">
        <f ca="1">IF($C11=0,"",OFFSET(INPUTS!G$5,$C11,0))</f>
        <v>0</v>
      </c>
      <c r="H11" s="94">
        <f ca="1">IF($C11=0,"",OFFSET(INPUTS!H$5,$C11,0))</f>
        <v>198</v>
      </c>
      <c r="I11" s="94">
        <f ca="1">IF($C11=0,"",OFFSET(INPUTS!I$5,$C11,0))</f>
        <v>0</v>
      </c>
      <c r="J11" s="94">
        <f ca="1">IF($C11=0,"",OFFSET(INPUTS!J$5,$C11,0))</f>
        <v>0</v>
      </c>
      <c r="K11" s="114">
        <f ca="1">IF($C11=0,"",OFFSET(INPUTS!K$5,$C11,0))</f>
        <v>18.337312519130702</v>
      </c>
      <c r="L11" s="114">
        <f ca="1">IF($C11=0,"",OFFSET(INPUTS!L$5,$C11,0))</f>
        <v>18.337312519130702</v>
      </c>
      <c r="M11" s="94">
        <f ca="1">IF($C11=0,"",OFFSET(INPUTS!M$5,$C11,0))</f>
        <v>0</v>
      </c>
      <c r="N11" s="94">
        <f ca="1">IF($C11=0,"",OFFSET(INPUTS!N$5,$C11,0))</f>
        <v>0</v>
      </c>
      <c r="O11" s="94" t="str">
        <f ca="1">IF($C11=0,"",OFFSET(INPUTS!O$5,$C11,0))</f>
        <v>nd</v>
      </c>
      <c r="P11" s="114">
        <f ca="1">IF($C11=0,"",OFFSET(INPUTS!P$5,$C11,0))</f>
        <v>18.337312519130702</v>
      </c>
      <c r="Q11" s="141">
        <f ca="1">IF($C11=0,"",OFFSET(INPUTS!Q$5,$C11,0))</f>
        <v>10</v>
      </c>
      <c r="R11" s="37">
        <f t="shared" ca="1" si="9"/>
        <v>18.337312519130702</v>
      </c>
      <c r="S11" s="38">
        <f t="shared" ca="1" si="10"/>
        <v>18.337312519130702</v>
      </c>
      <c r="T11" s="129" t="str">
        <f t="shared" si="0"/>
        <v>7050I</v>
      </c>
      <c r="U11" s="126" t="str">
        <f t="shared" ca="1" si="1"/>
        <v/>
      </c>
      <c r="V11" s="151" t="str">
        <f t="shared" ca="1" si="11"/>
        <v>P4_F05</v>
      </c>
      <c r="W11" s="131" t="str">
        <f t="shared" ca="1" si="2"/>
        <v/>
      </c>
      <c r="X11" s="39" t="str">
        <f t="shared" si="3"/>
        <v>EF24</v>
      </c>
      <c r="Y11" s="35" t="str">
        <f t="shared" ca="1" si="12"/>
        <v/>
      </c>
      <c r="Z11" s="75" t="str">
        <f t="shared" si="4"/>
        <v/>
      </c>
      <c r="AA11" s="40" t="str">
        <f t="shared" si="5"/>
        <v/>
      </c>
      <c r="AB11" s="171" t="str">
        <f t="shared" si="13"/>
        <v/>
      </c>
      <c r="AC11" s="41" t="str">
        <f t="shared" si="6"/>
        <v/>
      </c>
      <c r="AD11" s="35" t="str">
        <f t="shared" si="7"/>
        <v/>
      </c>
      <c r="AE11" s="42" t="str">
        <f t="shared" si="8"/>
        <v/>
      </c>
      <c r="AF11" s="146">
        <f t="shared" ca="1" si="14"/>
        <v>0.21813447285838286</v>
      </c>
      <c r="AG11" s="35" t="str">
        <f t="shared" si="15"/>
        <v/>
      </c>
      <c r="AH11" s="118">
        <v>0</v>
      </c>
      <c r="AI11" s="125">
        <f>IF(C$6=0,0,SUMIF('Prepool 1'!$X$5:$X$38,X11,'Prepool 1'!$AH$5:$AH$38))</f>
        <v>1</v>
      </c>
    </row>
    <row r="12" spans="1:35" ht="15.65" x14ac:dyDescent="0.3">
      <c r="A12" s="36" t="str">
        <f>IF(INPUTS!A12=0,"none",INPUTS!A12)</f>
        <v>7050I</v>
      </c>
      <c r="B12" s="36" t="str">
        <f>IF(INPUTS!B12=0,"none",INPUTS!B12)</f>
        <v>EF25</v>
      </c>
      <c r="C12" s="109">
        <f>IF(B12="none",0,MATCH(B12,INPUTS!$B$6:$B$69,0))</f>
        <v>7</v>
      </c>
      <c r="D12" s="94">
        <f ca="1">IF($C12=0,"",OFFSET(INPUTS!D$5,$C12,0))</f>
        <v>2.5299999999999998</v>
      </c>
      <c r="E12" s="94">
        <f ca="1">IF($C12=0,"",OFFSET(INPUTS!E$5,$C12,0))</f>
        <v>20</v>
      </c>
      <c r="F12" s="115" t="str">
        <f ca="1">IF($C12=0,"",OFFSET(INPUTS!F$5,$C12,0))</f>
        <v>P4_A06</v>
      </c>
      <c r="G12" s="115">
        <f ca="1">IF($C12=0,"",OFFSET(INPUTS!G$5,$C12,0))</f>
        <v>0</v>
      </c>
      <c r="H12" s="94">
        <f ca="1">IF($C12=0,"",OFFSET(INPUTS!H$5,$C12,0))</f>
        <v>199</v>
      </c>
      <c r="I12" s="94">
        <f ca="1">IF($C12=0,"",OFFSET(INPUTS!I$5,$C12,0))</f>
        <v>0</v>
      </c>
      <c r="J12" s="94">
        <f ca="1">IF($C12=0,"",OFFSET(INPUTS!J$5,$C12,0))</f>
        <v>0</v>
      </c>
      <c r="K12" s="114">
        <f ca="1">IF($C12=0,"",OFFSET(INPUTS!K$5,$C12,0))</f>
        <v>19.26298157453936</v>
      </c>
      <c r="L12" s="114">
        <f ca="1">IF($C12=0,"",OFFSET(INPUTS!L$5,$C12,0))</f>
        <v>19.26298157453936</v>
      </c>
      <c r="M12" s="94">
        <f ca="1">IF($C12=0,"",OFFSET(INPUTS!M$5,$C12,0))</f>
        <v>0</v>
      </c>
      <c r="N12" s="94">
        <f ca="1">IF($C12=0,"",OFFSET(INPUTS!N$5,$C12,0))</f>
        <v>0</v>
      </c>
      <c r="O12" s="94" t="str">
        <f ca="1">IF($C12=0,"",OFFSET(INPUTS!O$5,$C12,0))</f>
        <v>nd</v>
      </c>
      <c r="P12" s="114">
        <f ca="1">IF($C12=0,"",OFFSET(INPUTS!P$5,$C12,0))</f>
        <v>19.26298157453936</v>
      </c>
      <c r="Q12" s="141">
        <f ca="1">IF($C12=0,"",OFFSET(INPUTS!Q$5,$C12,0))</f>
        <v>100</v>
      </c>
      <c r="R12" s="37">
        <f t="shared" ca="1" si="9"/>
        <v>19.26298157453936</v>
      </c>
      <c r="S12" s="38">
        <f t="shared" ca="1" si="10"/>
        <v>19.26298157453936</v>
      </c>
      <c r="T12" s="129" t="str">
        <f t="shared" si="0"/>
        <v>7050I</v>
      </c>
      <c r="U12" s="126" t="str">
        <f t="shared" ca="1" si="1"/>
        <v/>
      </c>
      <c r="V12" s="151" t="str">
        <f t="shared" ca="1" si="11"/>
        <v>P4_A06</v>
      </c>
      <c r="W12" s="131" t="str">
        <f t="shared" ca="1" si="2"/>
        <v/>
      </c>
      <c r="X12" s="39" t="str">
        <f t="shared" si="3"/>
        <v>EF25</v>
      </c>
      <c r="Y12" s="35" t="str">
        <f t="shared" ca="1" si="12"/>
        <v/>
      </c>
      <c r="Z12" s="75" t="str">
        <f t="shared" ca="1" si="4"/>
        <v/>
      </c>
      <c r="AA12" s="40">
        <f t="shared" ca="1" si="5"/>
        <v>2.0765217391304351</v>
      </c>
      <c r="AB12" s="171">
        <f t="shared" ca="1" si="13"/>
        <v>6</v>
      </c>
      <c r="AC12" s="41">
        <f t="shared" ca="1" si="6"/>
        <v>40</v>
      </c>
      <c r="AD12" s="35">
        <f t="shared" ca="1" si="7"/>
        <v>40</v>
      </c>
      <c r="AE12" s="42">
        <f t="shared" ca="1" si="8"/>
        <v>5.2536000000000005</v>
      </c>
      <c r="AF12" s="146">
        <f t="shared" ca="1" si="14"/>
        <v>2.0765217391304351</v>
      </c>
      <c r="AG12" s="35">
        <f t="shared" ca="1" si="15"/>
        <v>100</v>
      </c>
      <c r="AH12" s="118">
        <v>1</v>
      </c>
      <c r="AI12" s="125">
        <f>IF(C$6=0,0,SUMIF('Prepool 1'!$X$5:$X$38,X12,'Prepool 1'!$AH$5:$AH$38))</f>
        <v>0</v>
      </c>
    </row>
    <row r="13" spans="1:35" ht="15.65" x14ac:dyDescent="0.3">
      <c r="A13" s="36" t="str">
        <f>IF(INPUTS!A13=0,"none",INPUTS!A13)</f>
        <v>7050I</v>
      </c>
      <c r="B13" s="36" t="str">
        <f>IF(INPUTS!B13=0,"none",INPUTS!B13)</f>
        <v>EF26</v>
      </c>
      <c r="C13" s="109">
        <f>IF(B13="none",0,MATCH(B13,INPUTS!$B$6:$B$69,0))</f>
        <v>8</v>
      </c>
      <c r="D13" s="94">
        <f ca="1">IF($C13=0,"",OFFSET(INPUTS!D$5,$C13,0))</f>
        <v>3.3</v>
      </c>
      <c r="E13" s="94">
        <f ca="1">IF($C13=0,"",OFFSET(INPUTS!E$5,$C13,0))</f>
        <v>20</v>
      </c>
      <c r="F13" s="115" t="str">
        <f ca="1">IF($C13=0,"",OFFSET(INPUTS!F$5,$C13,0))</f>
        <v>P4_B06</v>
      </c>
      <c r="G13" s="115">
        <f ca="1">IF($C13=0,"",OFFSET(INPUTS!G$5,$C13,0))</f>
        <v>0</v>
      </c>
      <c r="H13" s="94">
        <f ca="1">IF($C13=0,"",OFFSET(INPUTS!H$5,$C13,0))</f>
        <v>198</v>
      </c>
      <c r="I13" s="94">
        <f ca="1">IF($C13=0,"",OFFSET(INPUTS!I$5,$C13,0))</f>
        <v>0</v>
      </c>
      <c r="J13" s="94">
        <f ca="1">IF($C13=0,"",OFFSET(INPUTS!J$5,$C13,0))</f>
        <v>0</v>
      </c>
      <c r="K13" s="114">
        <f ca="1">IF($C13=0,"",OFFSET(INPUTS!K$5,$C13,0))</f>
        <v>25.252525252525253</v>
      </c>
      <c r="L13" s="114">
        <f ca="1">IF($C13=0,"",OFFSET(INPUTS!L$5,$C13,0))</f>
        <v>25.252525252525253</v>
      </c>
      <c r="M13" s="94">
        <f ca="1">IF($C13=0,"",OFFSET(INPUTS!M$5,$C13,0))</f>
        <v>0</v>
      </c>
      <c r="N13" s="94">
        <f ca="1">IF($C13=0,"",OFFSET(INPUTS!N$5,$C13,0))</f>
        <v>0</v>
      </c>
      <c r="O13" s="94" t="str">
        <f ca="1">IF($C13=0,"",OFFSET(INPUTS!O$5,$C13,0))</f>
        <v>nd</v>
      </c>
      <c r="P13" s="114">
        <f ca="1">IF($C13=0,"",OFFSET(INPUTS!P$5,$C13,0))</f>
        <v>25.252525252525253</v>
      </c>
      <c r="Q13" s="141">
        <f ca="1">IF($C13=0,"",OFFSET(INPUTS!Q$5,$C13,0))</f>
        <v>10</v>
      </c>
      <c r="R13" s="37">
        <f t="shared" ca="1" si="9"/>
        <v>25.252525252525253</v>
      </c>
      <c r="S13" s="38">
        <f t="shared" ca="1" si="10"/>
        <v>25.252525252525253</v>
      </c>
      <c r="T13" s="129" t="str">
        <f t="shared" si="0"/>
        <v>7050I</v>
      </c>
      <c r="U13" s="126" t="str">
        <f t="shared" ca="1" si="1"/>
        <v/>
      </c>
      <c r="V13" s="151" t="str">
        <f t="shared" ca="1" si="11"/>
        <v>P4_B06</v>
      </c>
      <c r="W13" s="131" t="str">
        <f t="shared" ca="1" si="2"/>
        <v/>
      </c>
      <c r="X13" s="39" t="str">
        <f t="shared" si="3"/>
        <v>EF26</v>
      </c>
      <c r="Y13" s="35" t="str">
        <f t="shared" ca="1" si="12"/>
        <v/>
      </c>
      <c r="Z13" s="75" t="str">
        <f t="shared" si="4"/>
        <v/>
      </c>
      <c r="AA13" s="40" t="str">
        <f t="shared" si="5"/>
        <v/>
      </c>
      <c r="AB13" s="171" t="str">
        <f t="shared" si="13"/>
        <v/>
      </c>
      <c r="AC13" s="41" t="str">
        <f t="shared" si="6"/>
        <v/>
      </c>
      <c r="AD13" s="35" t="str">
        <f t="shared" si="7"/>
        <v/>
      </c>
      <c r="AE13" s="42" t="str">
        <f t="shared" si="8"/>
        <v/>
      </c>
      <c r="AF13" s="146">
        <f t="shared" ca="1" si="14"/>
        <v>0.15839999999999999</v>
      </c>
      <c r="AG13" s="35" t="str">
        <f t="shared" si="15"/>
        <v/>
      </c>
      <c r="AH13" s="118">
        <v>0</v>
      </c>
      <c r="AI13" s="125">
        <f>IF(C$6=0,0,SUMIF('Prepool 1'!$X$5:$X$38,X13,'Prepool 1'!$AH$5:$AH$38))</f>
        <v>1</v>
      </c>
    </row>
    <row r="14" spans="1:35" ht="15.65" x14ac:dyDescent="0.3">
      <c r="A14" s="36" t="str">
        <f>IF(INPUTS!A14=0,"none",INPUTS!A14)</f>
        <v>7050I</v>
      </c>
      <c r="B14" s="36" t="str">
        <f>IF(INPUTS!B14=0,"none",INPUTS!B14)</f>
        <v>EF27</v>
      </c>
      <c r="C14" s="109">
        <f>IF(B14="none",0,MATCH(B14,INPUTS!$B$6:$B$69,0))</f>
        <v>9</v>
      </c>
      <c r="D14" s="94">
        <f ca="1">IF($C14=0,"",OFFSET(INPUTS!D$5,$C14,0))</f>
        <v>3.1212</v>
      </c>
      <c r="E14" s="94">
        <f ca="1">IF($C14=0,"",OFFSET(INPUTS!E$5,$C14,0))</f>
        <v>20</v>
      </c>
      <c r="F14" s="115" t="str">
        <f ca="1">IF($C14=0,"",OFFSET(INPUTS!F$5,$C14,0))</f>
        <v>P4_C06</v>
      </c>
      <c r="G14" s="115">
        <f ca="1">IF($C14=0,"",OFFSET(INPUTS!G$5,$C14,0))</f>
        <v>0</v>
      </c>
      <c r="H14" s="94">
        <f ca="1">IF($C14=0,"",OFFSET(INPUTS!H$5,$C14,0))</f>
        <v>197</v>
      </c>
      <c r="I14" s="94">
        <f ca="1">IF($C14=0,"",OFFSET(INPUTS!I$5,$C14,0))</f>
        <v>0</v>
      </c>
      <c r="J14" s="94">
        <f ca="1">IF($C14=0,"",OFFSET(INPUTS!J$5,$C14,0))</f>
        <v>0</v>
      </c>
      <c r="K14" s="114">
        <f ca="1">IF($C14=0,"",OFFSET(INPUTS!K$5,$C14,0))</f>
        <v>24.005537609598523</v>
      </c>
      <c r="L14" s="114">
        <f ca="1">IF($C14=0,"",OFFSET(INPUTS!L$5,$C14,0))</f>
        <v>24.005537609598523</v>
      </c>
      <c r="M14" s="94">
        <f ca="1">IF($C14=0,"",OFFSET(INPUTS!M$5,$C14,0))</f>
        <v>0</v>
      </c>
      <c r="N14" s="94">
        <f ca="1">IF($C14=0,"",OFFSET(INPUTS!N$5,$C14,0))</f>
        <v>0</v>
      </c>
      <c r="O14" s="94" t="str">
        <f ca="1">IF($C14=0,"",OFFSET(INPUTS!O$5,$C14,0))</f>
        <v>nd</v>
      </c>
      <c r="P14" s="114">
        <f ca="1">IF($C14=0,"",OFFSET(INPUTS!P$5,$C14,0))</f>
        <v>24.005537609598523</v>
      </c>
      <c r="Q14" s="141">
        <f ca="1">IF($C14=0,"",OFFSET(INPUTS!Q$5,$C14,0))</f>
        <v>100</v>
      </c>
      <c r="R14" s="37">
        <f t="shared" ca="1" si="9"/>
        <v>24.005537609598523</v>
      </c>
      <c r="S14" s="38">
        <f t="shared" ca="1" si="10"/>
        <v>24.005537609598523</v>
      </c>
      <c r="T14" s="129" t="str">
        <f t="shared" si="0"/>
        <v>7050I</v>
      </c>
      <c r="U14" s="126" t="str">
        <f t="shared" ca="1" si="1"/>
        <v/>
      </c>
      <c r="V14" s="151" t="str">
        <f t="shared" ca="1" si="11"/>
        <v>P4_C06</v>
      </c>
      <c r="W14" s="131" t="str">
        <f t="shared" ca="1" si="2"/>
        <v/>
      </c>
      <c r="X14" s="39" t="str">
        <f t="shared" si="3"/>
        <v>EF27</v>
      </c>
      <c r="Y14" s="35" t="str">
        <f t="shared" ca="1" si="12"/>
        <v/>
      </c>
      <c r="Z14" s="75" t="str">
        <f t="shared" ca="1" si="4"/>
        <v/>
      </c>
      <c r="AA14" s="40">
        <f t="shared" ca="1" si="5"/>
        <v>1.6662821991541714</v>
      </c>
      <c r="AB14" s="171">
        <f t="shared" ca="1" si="13"/>
        <v>7</v>
      </c>
      <c r="AC14" s="41">
        <f t="shared" ca="1" si="6"/>
        <v>40</v>
      </c>
      <c r="AD14" s="35">
        <f t="shared" ca="1" si="7"/>
        <v>40</v>
      </c>
      <c r="AE14" s="42">
        <f t="shared" ca="1" si="8"/>
        <v>5.2008000000000001</v>
      </c>
      <c r="AF14" s="146">
        <f t="shared" ca="1" si="14"/>
        <v>1.6662821991541714</v>
      </c>
      <c r="AG14" s="35">
        <f t="shared" ca="1" si="15"/>
        <v>100</v>
      </c>
      <c r="AH14" s="118">
        <v>1</v>
      </c>
      <c r="AI14" s="125">
        <f>IF(C$6=0,0,SUMIF('Prepool 1'!$X$5:$X$38,X14,'Prepool 1'!$AH$5:$AH$38))</f>
        <v>0</v>
      </c>
    </row>
    <row r="15" spans="1:35" ht="15.65" x14ac:dyDescent="0.3">
      <c r="A15" s="36" t="str">
        <f>IF(INPUTS!A15=0,"none",INPUTS!A15)</f>
        <v>7050I</v>
      </c>
      <c r="B15" s="36" t="str">
        <f>IF(INPUTS!B15=0,"none",INPUTS!B15)</f>
        <v>EF28</v>
      </c>
      <c r="C15" s="109">
        <f>IF(B15="none",0,MATCH(B15,INPUTS!$B$6:$B$69,0))</f>
        <v>10</v>
      </c>
      <c r="D15" s="94">
        <f ca="1">IF($C15=0,"",OFFSET(INPUTS!D$5,$C15,0))</f>
        <v>0.1</v>
      </c>
      <c r="E15" s="94">
        <f ca="1">IF($C15=0,"",OFFSET(INPUTS!E$5,$C15,0))</f>
        <v>20</v>
      </c>
      <c r="F15" s="115" t="str">
        <f ca="1">IF($C15=0,"",OFFSET(INPUTS!F$5,$C15,0))</f>
        <v>P4_D06</v>
      </c>
      <c r="G15" s="115">
        <f ca="1">IF($C15=0,"",OFFSET(INPUTS!G$5,$C15,0))</f>
        <v>0</v>
      </c>
      <c r="H15" s="94">
        <f ca="1">IF($C15=0,"",OFFSET(INPUTS!H$5,$C15,0))</f>
        <v>198</v>
      </c>
      <c r="I15" s="94">
        <f ca="1">IF($C15=0,"",OFFSET(INPUTS!I$5,$C15,0))</f>
        <v>0</v>
      </c>
      <c r="J15" s="94">
        <f ca="1">IF($C15=0,"",OFFSET(INPUTS!J$5,$C15,0))</f>
        <v>0</v>
      </c>
      <c r="K15" s="114">
        <f ca="1">IF($C15=0,"",OFFSET(INPUTS!K$5,$C15,0))</f>
        <v>0.76522803795531069</v>
      </c>
      <c r="L15" s="114">
        <f ca="1">IF($C15=0,"",OFFSET(INPUTS!L$5,$C15,0))</f>
        <v>0.76522803795531069</v>
      </c>
      <c r="M15" s="94">
        <f ca="1">IF($C15=0,"",OFFSET(INPUTS!M$5,$C15,0))</f>
        <v>0</v>
      </c>
      <c r="N15" s="94">
        <f ca="1">IF($C15=0,"",OFFSET(INPUTS!N$5,$C15,0))</f>
        <v>0</v>
      </c>
      <c r="O15" s="94" t="str">
        <f ca="1">IF($C15=0,"",OFFSET(INPUTS!O$5,$C15,0))</f>
        <v>nd</v>
      </c>
      <c r="P15" s="114">
        <f ca="1">IF($C15=0,"",OFFSET(INPUTS!P$5,$C15,0))</f>
        <v>0.76522803795531069</v>
      </c>
      <c r="Q15" s="141">
        <f ca="1">IF($C15=0,"",OFFSET(INPUTS!Q$5,$C15,0))</f>
        <v>10</v>
      </c>
      <c r="R15" s="37">
        <f t="shared" ca="1" si="9"/>
        <v>0.76522803795531069</v>
      </c>
      <c r="S15" s="38">
        <f t="shared" ca="1" si="10"/>
        <v>0.76522803795531069</v>
      </c>
      <c r="T15" s="129" t="str">
        <f t="shared" si="0"/>
        <v>7050I</v>
      </c>
      <c r="U15" s="126" t="str">
        <f t="shared" ca="1" si="1"/>
        <v/>
      </c>
      <c r="V15" s="151" t="str">
        <f t="shared" ca="1" si="11"/>
        <v>P4_D06</v>
      </c>
      <c r="W15" s="131" t="str">
        <f t="shared" ca="1" si="2"/>
        <v/>
      </c>
      <c r="X15" s="39" t="str">
        <f t="shared" si="3"/>
        <v>EF28</v>
      </c>
      <c r="Y15" s="35" t="str">
        <f t="shared" ca="1" si="12"/>
        <v/>
      </c>
      <c r="Z15" s="75" t="str">
        <f t="shared" ca="1" si="4"/>
        <v/>
      </c>
      <c r="AA15" s="40">
        <f t="shared" ca="1" si="5"/>
        <v>5.2272000000000007</v>
      </c>
      <c r="AB15" s="171">
        <f t="shared" ca="1" si="13"/>
        <v>1</v>
      </c>
      <c r="AC15" s="41">
        <f t="shared" ca="1" si="6"/>
        <v>4.0000000000000009</v>
      </c>
      <c r="AD15" s="35">
        <f t="shared" ca="1" si="7"/>
        <v>4.0000000000000009</v>
      </c>
      <c r="AE15" s="42">
        <f t="shared" ca="1" si="8"/>
        <v>0.52272000000000007</v>
      </c>
      <c r="AF15" s="146">
        <f t="shared" ca="1" si="14"/>
        <v>5.2272000000000007</v>
      </c>
      <c r="AG15" s="35">
        <f t="shared" ca="1" si="15"/>
        <v>10</v>
      </c>
      <c r="AH15" s="118">
        <v>1</v>
      </c>
      <c r="AI15" s="125">
        <f>IF(C$6=0,0,SUMIF('Prepool 1'!$X$5:$X$38,X15,'Prepool 1'!$AH$5:$AH$38))</f>
        <v>0</v>
      </c>
    </row>
    <row r="16" spans="1:35" ht="15.65" x14ac:dyDescent="0.3">
      <c r="A16" s="36" t="str">
        <f>IF(INPUTS!A16=0,"none",INPUTS!A16)</f>
        <v>7050I</v>
      </c>
      <c r="B16" s="36" t="str">
        <f>IF(INPUTS!B16=0,"none",INPUTS!B16)</f>
        <v>EF29</v>
      </c>
      <c r="C16" s="109">
        <f>IF(B16="none",0,MATCH(B16,INPUTS!$B$6:$B$69,0))</f>
        <v>11</v>
      </c>
      <c r="D16" s="94">
        <f ca="1">IF($C16=0,"",OFFSET(INPUTS!D$5,$C16,0))</f>
        <v>0.1</v>
      </c>
      <c r="E16" s="94">
        <f ca="1">IF($C16=0,"",OFFSET(INPUTS!E$5,$C16,0))</f>
        <v>20</v>
      </c>
      <c r="F16" s="115" t="str">
        <f ca="1">IF($C16=0,"",OFFSET(INPUTS!F$5,$C16,0))</f>
        <v>P4_E06</v>
      </c>
      <c r="G16" s="115">
        <f ca="1">IF($C16=0,"",OFFSET(INPUTS!G$5,$C16,0))</f>
        <v>0</v>
      </c>
      <c r="H16" s="94">
        <f ca="1">IF($C16=0,"",OFFSET(INPUTS!H$5,$C16,0))</f>
        <v>196</v>
      </c>
      <c r="I16" s="94">
        <f ca="1">IF($C16=0,"",OFFSET(INPUTS!I$5,$C16,0))</f>
        <v>0</v>
      </c>
      <c r="J16" s="94">
        <f ca="1">IF($C16=0,"",OFFSET(INPUTS!J$5,$C16,0))</f>
        <v>0</v>
      </c>
      <c r="K16" s="114">
        <f ca="1">IF($C16=0,"",OFFSET(INPUTS!K$5,$C16,0))</f>
        <v>0.77303648732220165</v>
      </c>
      <c r="L16" s="114">
        <f ca="1">IF($C16=0,"",OFFSET(INPUTS!L$5,$C16,0))</f>
        <v>0.77303648732220165</v>
      </c>
      <c r="M16" s="94">
        <f ca="1">IF($C16=0,"",OFFSET(INPUTS!M$5,$C16,0))</f>
        <v>0</v>
      </c>
      <c r="N16" s="94">
        <f ca="1">IF($C16=0,"",OFFSET(INPUTS!N$5,$C16,0))</f>
        <v>0</v>
      </c>
      <c r="O16" s="94" t="str">
        <f ca="1">IF($C16=0,"",OFFSET(INPUTS!O$5,$C16,0))</f>
        <v>nd</v>
      </c>
      <c r="P16" s="114">
        <f ca="1">IF($C16=0,"",OFFSET(INPUTS!P$5,$C16,0))</f>
        <v>0.77303648732220165</v>
      </c>
      <c r="Q16" s="141">
        <f ca="1">IF($C16=0,"",OFFSET(INPUTS!Q$5,$C16,0))</f>
        <v>100</v>
      </c>
      <c r="R16" s="37">
        <f t="shared" ca="1" si="9"/>
        <v>0.77303648732220165</v>
      </c>
      <c r="S16" s="38">
        <f t="shared" ca="1" si="10"/>
        <v>0.77303648732220165</v>
      </c>
      <c r="T16" s="129" t="str">
        <f t="shared" si="0"/>
        <v>7050I</v>
      </c>
      <c r="U16" s="126" t="str">
        <f t="shared" ca="1" si="1"/>
        <v/>
      </c>
      <c r="V16" s="151" t="str">
        <f t="shared" ca="1" si="11"/>
        <v>P4_E06</v>
      </c>
      <c r="W16" s="131" t="str">
        <f t="shared" ca="1" si="2"/>
        <v/>
      </c>
      <c r="X16" s="39" t="str">
        <f t="shared" si="3"/>
        <v>EF29</v>
      </c>
      <c r="Y16" s="35" t="str">
        <f t="shared" ca="1" si="12"/>
        <v/>
      </c>
      <c r="Z16" s="75" t="str">
        <f t="shared" si="4"/>
        <v/>
      </c>
      <c r="AA16" s="40" t="str">
        <f t="shared" si="5"/>
        <v/>
      </c>
      <c r="AB16" s="171" t="str">
        <f t="shared" si="13"/>
        <v/>
      </c>
      <c r="AC16" s="41" t="str">
        <f t="shared" si="6"/>
        <v/>
      </c>
      <c r="AD16" s="35" t="str">
        <f t="shared" si="7"/>
        <v/>
      </c>
      <c r="AE16" s="42" t="str">
        <f t="shared" si="8"/>
        <v/>
      </c>
      <c r="AF16" s="146">
        <f t="shared" ca="1" si="14"/>
        <v>51.744</v>
      </c>
      <c r="AG16" s="35" t="str">
        <f t="shared" si="15"/>
        <v/>
      </c>
      <c r="AH16" s="118">
        <v>0</v>
      </c>
      <c r="AI16" s="125">
        <f>IF(C$6=0,0,SUMIF('Prepool 1'!$X$5:$X$38,X16,'Prepool 1'!$AH$5:$AH$38))</f>
        <v>0</v>
      </c>
    </row>
    <row r="17" spans="1:35" ht="16.3" thickBot="1" x14ac:dyDescent="0.35">
      <c r="A17" s="36" t="str">
        <f>IF(INPUTS!A17=0,"none",INPUTS!A17)</f>
        <v>7050I</v>
      </c>
      <c r="B17" s="36" t="str">
        <f>IF(INPUTS!B17=0,"none",INPUTS!B17)</f>
        <v>EF30</v>
      </c>
      <c r="C17" s="109">
        <f>IF(B17="none",0,MATCH(B17,INPUTS!$B$6:$B$69,0))</f>
        <v>12</v>
      </c>
      <c r="D17" s="94">
        <f ca="1">IF($C17=0,"",OFFSET(INPUTS!D$5,$C17,0))</f>
        <v>0.1</v>
      </c>
      <c r="E17" s="94">
        <f ca="1">IF($C17=0,"",OFFSET(INPUTS!E$5,$C17,0))</f>
        <v>20</v>
      </c>
      <c r="F17" s="115" t="str">
        <f ca="1">IF($C17=0,"",OFFSET(INPUTS!F$5,$C17,0))</f>
        <v>P4_F06</v>
      </c>
      <c r="G17" s="115">
        <f ca="1">IF($C17=0,"",OFFSET(INPUTS!G$5,$C17,0))</f>
        <v>0</v>
      </c>
      <c r="H17" s="94">
        <f ca="1">IF($C17=0,"",OFFSET(INPUTS!H$5,$C17,0))</f>
        <v>197</v>
      </c>
      <c r="I17" s="94">
        <f ca="1">IF($C17=0,"",OFFSET(INPUTS!I$5,$C17,0))</f>
        <v>0</v>
      </c>
      <c r="J17" s="94">
        <f ca="1">IF($C17=0,"",OFFSET(INPUTS!J$5,$C17,0))</f>
        <v>0</v>
      </c>
      <c r="K17" s="114">
        <f ca="1">IF($C17=0,"",OFFSET(INPUTS!K$5,$C17,0))</f>
        <v>0.76911244423934777</v>
      </c>
      <c r="L17" s="114">
        <f ca="1">IF($C17=0,"",OFFSET(INPUTS!L$5,$C17,0))</f>
        <v>0.76911244423934777</v>
      </c>
      <c r="M17" s="94">
        <f ca="1">IF($C17=0,"",OFFSET(INPUTS!M$5,$C17,0))</f>
        <v>0</v>
      </c>
      <c r="N17" s="94">
        <f ca="1">IF($C17=0,"",OFFSET(INPUTS!N$5,$C17,0))</f>
        <v>0</v>
      </c>
      <c r="O17" s="94" t="str">
        <f ca="1">IF($C17=0,"",OFFSET(INPUTS!O$5,$C17,0))</f>
        <v>nd</v>
      </c>
      <c r="P17" s="114">
        <f ca="1">IF($C17=0,"",OFFSET(INPUTS!P$5,$C17,0))</f>
        <v>0.76911244423934777</v>
      </c>
      <c r="Q17" s="141">
        <f ca="1">IF($C17=0,"",OFFSET(INPUTS!Q$5,$C17,0))</f>
        <v>10</v>
      </c>
      <c r="R17" s="37">
        <f t="shared" ca="1" si="9"/>
        <v>0.76911244423934777</v>
      </c>
      <c r="S17" s="38">
        <f t="shared" ca="1" si="10"/>
        <v>0.76911244423934777</v>
      </c>
      <c r="T17" s="129" t="str">
        <f t="shared" si="0"/>
        <v>7050I</v>
      </c>
      <c r="U17" s="126" t="str">
        <f t="shared" ca="1" si="1"/>
        <v/>
      </c>
      <c r="V17" s="151" t="str">
        <f t="shared" ca="1" si="11"/>
        <v>P4_F06</v>
      </c>
      <c r="W17" s="131" t="str">
        <f t="shared" ca="1" si="2"/>
        <v/>
      </c>
      <c r="X17" s="39" t="str">
        <f t="shared" si="3"/>
        <v>EF30</v>
      </c>
      <c r="Y17" s="35" t="str">
        <f t="shared" ca="1" si="12"/>
        <v/>
      </c>
      <c r="Z17" s="75" t="str">
        <f t="shared" ca="1" si="4"/>
        <v/>
      </c>
      <c r="AA17" s="40">
        <f t="shared" ca="1" si="5"/>
        <v>5.200800000000001</v>
      </c>
      <c r="AB17" s="171">
        <f t="shared" ca="1" si="13"/>
        <v>2</v>
      </c>
      <c r="AC17" s="41">
        <f t="shared" ca="1" si="6"/>
        <v>4.0000000000000009</v>
      </c>
      <c r="AD17" s="35">
        <f t="shared" ca="1" si="7"/>
        <v>4.0000000000000009</v>
      </c>
      <c r="AE17" s="42">
        <f t="shared" ca="1" si="8"/>
        <v>0.5200800000000001</v>
      </c>
      <c r="AF17" s="147">
        <f t="shared" ca="1" si="14"/>
        <v>5.200800000000001</v>
      </c>
      <c r="AG17" s="35">
        <f t="shared" ca="1" si="15"/>
        <v>10</v>
      </c>
      <c r="AH17" s="118">
        <v>1</v>
      </c>
      <c r="AI17" s="125">
        <f>IF(C$6=0,0,SUMIF('Prepool 1'!$X$5:$X$38,X17,'Prepool 1'!$AH$5:$AH$38))</f>
        <v>0</v>
      </c>
    </row>
    <row r="18" spans="1:35" ht="15.65" hidden="1" x14ac:dyDescent="0.3">
      <c r="A18" s="36" t="str">
        <f>IF(INPUTS!A18=0,"none",INPUTS!A18)</f>
        <v>none</v>
      </c>
      <c r="B18" s="36" t="str">
        <f>IF(INPUTS!B18=0,"none",INPUTS!B18)</f>
        <v>none</v>
      </c>
      <c r="C18" s="109">
        <f>IF(B18="none",0,MATCH(B18,INPUTS!$B$6:$B$69,0))</f>
        <v>0</v>
      </c>
      <c r="D18" s="94" t="str">
        <f ca="1">IF($C18=0,"",OFFSET(INPUTS!D$5,$C18,0))</f>
        <v/>
      </c>
      <c r="E18" s="94" t="str">
        <f ca="1">IF($C18=0,"",OFFSET(INPUTS!E$5,$C18,0))</f>
        <v/>
      </c>
      <c r="F18" s="115" t="str">
        <f ca="1">IF($C18=0,"",OFFSET(INPUTS!F$5,$C18,0))</f>
        <v/>
      </c>
      <c r="G18" s="115" t="str">
        <f ca="1">IF($C18=0,"",OFFSET(INPUTS!G$5,$C18,0))</f>
        <v/>
      </c>
      <c r="H18" s="94" t="str">
        <f ca="1">IF($C18=0,"",OFFSET(INPUTS!H$5,$C18,0))</f>
        <v/>
      </c>
      <c r="I18" s="94" t="str">
        <f ca="1">IF($C18=0,"",OFFSET(INPUTS!I$5,$C18,0))</f>
        <v/>
      </c>
      <c r="J18" s="94" t="str">
        <f ca="1">IF($C18=0,"",OFFSET(INPUTS!J$5,$C18,0))</f>
        <v/>
      </c>
      <c r="K18" s="114" t="str">
        <f ca="1">IF($C18=0,"",OFFSET(INPUTS!K$5,$C18,0))</f>
        <v/>
      </c>
      <c r="L18" s="114" t="str">
        <f ca="1">IF($C18=0,"",OFFSET(INPUTS!L$5,$C18,0))</f>
        <v/>
      </c>
      <c r="M18" s="94" t="str">
        <f ca="1">IF($C18=0,"",OFFSET(INPUTS!M$5,$C18,0))</f>
        <v/>
      </c>
      <c r="N18" s="94" t="str">
        <f ca="1">IF($C18=0,"",OFFSET(INPUTS!N$5,$C18,0))</f>
        <v/>
      </c>
      <c r="O18" s="94" t="str">
        <f ca="1">IF($C18=0,"",OFFSET(INPUTS!O$5,$C18,0))</f>
        <v/>
      </c>
      <c r="P18" s="114" t="str">
        <f ca="1">IF($C18=0,"",OFFSET(INPUTS!P$5,$C18,0))</f>
        <v/>
      </c>
      <c r="Q18" s="141" t="str">
        <f ca="1">IF($C18=0,"",OFFSET(INPUTS!Q$5,$C18,0))</f>
        <v/>
      </c>
      <c r="R18" s="37" t="str">
        <f t="shared" si="9"/>
        <v/>
      </c>
      <c r="S18" s="38">
        <f t="shared" ca="1" si="10"/>
        <v>0</v>
      </c>
      <c r="T18" s="129" t="str">
        <f t="shared" si="0"/>
        <v>none</v>
      </c>
      <c r="U18" s="126" t="str">
        <f t="shared" ca="1" si="1"/>
        <v/>
      </c>
      <c r="V18" s="151" t="str">
        <f t="shared" ca="1" si="11"/>
        <v/>
      </c>
      <c r="W18" s="131" t="str">
        <f t="shared" ca="1" si="2"/>
        <v/>
      </c>
      <c r="X18" s="39" t="str">
        <f t="shared" si="3"/>
        <v>none</v>
      </c>
      <c r="Y18" s="35" t="str">
        <f t="shared" ca="1" si="12"/>
        <v/>
      </c>
      <c r="Z18" s="75" t="str">
        <f t="shared" si="4"/>
        <v/>
      </c>
      <c r="AA18" s="40" t="str">
        <f t="shared" si="5"/>
        <v/>
      </c>
      <c r="AB18" s="171" t="str">
        <f t="shared" si="13"/>
        <v/>
      </c>
      <c r="AC18" s="41" t="str">
        <f t="shared" si="6"/>
        <v/>
      </c>
      <c r="AD18" s="35" t="str">
        <f t="shared" si="7"/>
        <v/>
      </c>
      <c r="AE18" s="42" t="str">
        <f t="shared" si="8"/>
        <v/>
      </c>
      <c r="AF18" s="147" t="str">
        <f t="shared" si="14"/>
        <v/>
      </c>
      <c r="AG18" s="35" t="str">
        <f t="shared" si="15"/>
        <v/>
      </c>
      <c r="AH18" s="118">
        <v>0</v>
      </c>
      <c r="AI18" s="125">
        <f>IF(C$6=0,0,SUMIF('Prepool 1'!$X$5:$X$38,X18,'Prepool 1'!$AH$5:$AH$38))</f>
        <v>0</v>
      </c>
    </row>
    <row r="19" spans="1:35" ht="15.65" hidden="1" x14ac:dyDescent="0.3">
      <c r="A19" s="36" t="str">
        <f>IF(INPUTS!A19=0,"none",INPUTS!A19)</f>
        <v>none</v>
      </c>
      <c r="B19" s="36" t="str">
        <f>IF(INPUTS!B19=0,"none",INPUTS!B19)</f>
        <v>none</v>
      </c>
      <c r="C19" s="109">
        <f>IF(B19="none",0,MATCH(B19,INPUTS!$B$6:$B$69,0))</f>
        <v>0</v>
      </c>
      <c r="D19" s="94" t="str">
        <f ca="1">IF($C19=0,"",OFFSET(INPUTS!D$5,$C19,0))</f>
        <v/>
      </c>
      <c r="E19" s="94" t="str">
        <f ca="1">IF($C19=0,"",OFFSET(INPUTS!E$5,$C19,0))</f>
        <v/>
      </c>
      <c r="F19" s="115" t="str">
        <f ca="1">IF($C19=0,"",OFFSET(INPUTS!F$5,$C19,0))</f>
        <v/>
      </c>
      <c r="G19" s="115" t="str">
        <f ca="1">IF($C19=0,"",OFFSET(INPUTS!G$5,$C19,0))</f>
        <v/>
      </c>
      <c r="H19" s="94" t="str">
        <f ca="1">IF($C19=0,"",OFFSET(INPUTS!H$5,$C19,0))</f>
        <v/>
      </c>
      <c r="I19" s="94" t="str">
        <f ca="1">IF($C19=0,"",OFFSET(INPUTS!I$5,$C19,0))</f>
        <v/>
      </c>
      <c r="J19" s="94" t="str">
        <f ca="1">IF($C19=0,"",OFFSET(INPUTS!J$5,$C19,0))</f>
        <v/>
      </c>
      <c r="K19" s="114" t="str">
        <f ca="1">IF($C19=0,"",OFFSET(INPUTS!K$5,$C19,0))</f>
        <v/>
      </c>
      <c r="L19" s="114" t="str">
        <f ca="1">IF($C19=0,"",OFFSET(INPUTS!L$5,$C19,0))</f>
        <v/>
      </c>
      <c r="M19" s="94" t="str">
        <f ca="1">IF($C19=0,"",OFFSET(INPUTS!M$5,$C19,0))</f>
        <v/>
      </c>
      <c r="N19" s="94" t="str">
        <f ca="1">IF($C19=0,"",OFFSET(INPUTS!N$5,$C19,0))</f>
        <v/>
      </c>
      <c r="O19" s="94" t="str">
        <f ca="1">IF($C19=0,"",OFFSET(INPUTS!O$5,$C19,0))</f>
        <v/>
      </c>
      <c r="P19" s="114" t="str">
        <f ca="1">IF($C19=0,"",OFFSET(INPUTS!P$5,$C19,0))</f>
        <v/>
      </c>
      <c r="Q19" s="141" t="str">
        <f ca="1">IF($C19=0,"",OFFSET(INPUTS!Q$5,$C19,0))</f>
        <v/>
      </c>
      <c r="R19" s="37" t="str">
        <f t="shared" si="9"/>
        <v/>
      </c>
      <c r="S19" s="38">
        <f t="shared" ca="1" si="10"/>
        <v>0</v>
      </c>
      <c r="T19" s="129" t="str">
        <f t="shared" si="0"/>
        <v>none</v>
      </c>
      <c r="U19" s="126" t="str">
        <f t="shared" ca="1" si="1"/>
        <v/>
      </c>
      <c r="V19" s="151" t="str">
        <f t="shared" ca="1" si="11"/>
        <v/>
      </c>
      <c r="W19" s="131" t="str">
        <f t="shared" ca="1" si="2"/>
        <v/>
      </c>
      <c r="X19" s="39" t="str">
        <f t="shared" si="3"/>
        <v>none</v>
      </c>
      <c r="Y19" s="35" t="str">
        <f t="shared" ca="1" si="12"/>
        <v/>
      </c>
      <c r="Z19" s="75" t="str">
        <f t="shared" si="4"/>
        <v/>
      </c>
      <c r="AA19" s="40" t="str">
        <f t="shared" si="5"/>
        <v/>
      </c>
      <c r="AB19" s="171" t="str">
        <f t="shared" si="13"/>
        <v/>
      </c>
      <c r="AC19" s="41" t="str">
        <f t="shared" si="6"/>
        <v/>
      </c>
      <c r="AD19" s="35" t="str">
        <f t="shared" si="7"/>
        <v/>
      </c>
      <c r="AE19" s="42" t="str">
        <f t="shared" si="8"/>
        <v/>
      </c>
      <c r="AF19" s="147" t="str">
        <f t="shared" si="14"/>
        <v/>
      </c>
      <c r="AG19" s="35" t="str">
        <f t="shared" si="15"/>
        <v/>
      </c>
      <c r="AH19" s="118">
        <v>0</v>
      </c>
      <c r="AI19" s="125">
        <f>IF(C$6=0,0,SUMIF('Prepool 1'!$X$5:$X$38,X19,'Prepool 1'!$AH$5:$AH$38))</f>
        <v>0</v>
      </c>
    </row>
    <row r="20" spans="1:35" ht="15.65" hidden="1" x14ac:dyDescent="0.3">
      <c r="A20" s="36" t="str">
        <f>IF(INPUTS!A20=0,"none",INPUTS!A20)</f>
        <v>none</v>
      </c>
      <c r="B20" s="36" t="str">
        <f>IF(INPUTS!B20=0,"none",INPUTS!B20)</f>
        <v>none</v>
      </c>
      <c r="C20" s="109">
        <f>IF(B20="none",0,MATCH(B20,INPUTS!$B$6:$B$69,0))</f>
        <v>0</v>
      </c>
      <c r="D20" s="94" t="str">
        <f ca="1">IF($C20=0,"",OFFSET(INPUTS!D$5,$C20,0))</f>
        <v/>
      </c>
      <c r="E20" s="94" t="str">
        <f ca="1">IF($C20=0,"",OFFSET(INPUTS!E$5,$C20,0))</f>
        <v/>
      </c>
      <c r="F20" s="115" t="str">
        <f ca="1">IF($C20=0,"",OFFSET(INPUTS!F$5,$C20,0))</f>
        <v/>
      </c>
      <c r="G20" s="115" t="str">
        <f ca="1">IF($C20=0,"",OFFSET(INPUTS!G$5,$C20,0))</f>
        <v/>
      </c>
      <c r="H20" s="94" t="str">
        <f ca="1">IF($C20=0,"",OFFSET(INPUTS!H$5,$C20,0))</f>
        <v/>
      </c>
      <c r="I20" s="94" t="str">
        <f ca="1">IF($C20=0,"",OFFSET(INPUTS!I$5,$C20,0))</f>
        <v/>
      </c>
      <c r="J20" s="94" t="str">
        <f ca="1">IF($C20=0,"",OFFSET(INPUTS!J$5,$C20,0))</f>
        <v/>
      </c>
      <c r="K20" s="114" t="str">
        <f ca="1">IF($C20=0,"",OFFSET(INPUTS!K$5,$C20,0))</f>
        <v/>
      </c>
      <c r="L20" s="114" t="str">
        <f ca="1">IF($C20=0,"",OFFSET(INPUTS!L$5,$C20,0))</f>
        <v/>
      </c>
      <c r="M20" s="94" t="str">
        <f ca="1">IF($C20=0,"",OFFSET(INPUTS!M$5,$C20,0))</f>
        <v/>
      </c>
      <c r="N20" s="94" t="str">
        <f ca="1">IF($C20=0,"",OFFSET(INPUTS!N$5,$C20,0))</f>
        <v/>
      </c>
      <c r="O20" s="94" t="str">
        <f ca="1">IF($C20=0,"",OFFSET(INPUTS!O$5,$C20,0))</f>
        <v/>
      </c>
      <c r="P20" s="114" t="str">
        <f ca="1">IF($C20=0,"",OFFSET(INPUTS!P$5,$C20,0))</f>
        <v/>
      </c>
      <c r="Q20" s="141" t="str">
        <f ca="1">IF($C20=0,"",OFFSET(INPUTS!Q$5,$C20,0))</f>
        <v/>
      </c>
      <c r="R20" s="37" t="str">
        <f t="shared" si="9"/>
        <v/>
      </c>
      <c r="S20" s="38">
        <f t="shared" ca="1" si="10"/>
        <v>0</v>
      </c>
      <c r="T20" s="129" t="str">
        <f t="shared" si="0"/>
        <v>none</v>
      </c>
      <c r="U20" s="126" t="str">
        <f t="shared" ca="1" si="1"/>
        <v/>
      </c>
      <c r="V20" s="151" t="str">
        <f t="shared" ca="1" si="11"/>
        <v/>
      </c>
      <c r="W20" s="131" t="str">
        <f t="shared" ca="1" si="2"/>
        <v/>
      </c>
      <c r="X20" s="39" t="str">
        <f t="shared" si="3"/>
        <v>none</v>
      </c>
      <c r="Y20" s="35" t="str">
        <f t="shared" ca="1" si="12"/>
        <v/>
      </c>
      <c r="Z20" s="75" t="str">
        <f t="shared" si="4"/>
        <v/>
      </c>
      <c r="AA20" s="40" t="str">
        <f t="shared" si="5"/>
        <v/>
      </c>
      <c r="AB20" s="171" t="str">
        <f t="shared" si="13"/>
        <v/>
      </c>
      <c r="AC20" s="41" t="str">
        <f t="shared" si="6"/>
        <v/>
      </c>
      <c r="AD20" s="35" t="str">
        <f t="shared" si="7"/>
        <v/>
      </c>
      <c r="AE20" s="42" t="str">
        <f t="shared" si="8"/>
        <v/>
      </c>
      <c r="AF20" s="147" t="str">
        <f t="shared" si="14"/>
        <v/>
      </c>
      <c r="AG20" s="35" t="str">
        <f t="shared" si="15"/>
        <v/>
      </c>
      <c r="AH20" s="118">
        <v>0</v>
      </c>
      <c r="AI20" s="125">
        <f>IF(C$6=0,0,SUMIF('Prepool 1'!$X$5:$X$38,X20,'Prepool 1'!$AH$5:$AH$38))</f>
        <v>0</v>
      </c>
    </row>
    <row r="21" spans="1:35" ht="15.65" hidden="1" x14ac:dyDescent="0.3">
      <c r="A21" s="36" t="str">
        <f>IF(INPUTS!A21=0,"none",INPUTS!A21)</f>
        <v>none</v>
      </c>
      <c r="B21" s="36" t="str">
        <f>IF(INPUTS!B21=0,"none",INPUTS!B21)</f>
        <v>none</v>
      </c>
      <c r="C21" s="110">
        <f>IF(B21="none",0,MATCH(B21,INPUTS!$B$6:$B$69,0))</f>
        <v>0</v>
      </c>
      <c r="D21" s="94" t="str">
        <f ca="1">IF($C21=0,"",OFFSET(INPUTS!D$5,$C21,0))</f>
        <v/>
      </c>
      <c r="E21" s="94" t="str">
        <f ca="1">IF($C21=0,"",OFFSET(INPUTS!E$5,$C21,0))</f>
        <v/>
      </c>
      <c r="F21" s="115" t="str">
        <f ca="1">IF($C21=0,"",OFFSET(INPUTS!F$5,$C21,0))</f>
        <v/>
      </c>
      <c r="G21" s="115" t="str">
        <f ca="1">IF($C21=0,"",OFFSET(INPUTS!G$5,$C21,0))</f>
        <v/>
      </c>
      <c r="H21" s="94" t="str">
        <f ca="1">IF($C21=0,"",OFFSET(INPUTS!H$5,$C21,0))</f>
        <v/>
      </c>
      <c r="I21" s="94" t="str">
        <f ca="1">IF($C21=0,"",OFFSET(INPUTS!I$5,$C21,0))</f>
        <v/>
      </c>
      <c r="J21" s="94" t="str">
        <f ca="1">IF($C21=0,"",OFFSET(INPUTS!J$5,$C21,0))</f>
        <v/>
      </c>
      <c r="K21" s="114" t="str">
        <f ca="1">IF($C21=0,"",OFFSET(INPUTS!K$5,$C21,0))</f>
        <v/>
      </c>
      <c r="L21" s="114" t="str">
        <f ca="1">IF($C21=0,"",OFFSET(INPUTS!L$5,$C21,0))</f>
        <v/>
      </c>
      <c r="M21" s="94" t="str">
        <f ca="1">IF($C21=0,"",OFFSET(INPUTS!M$5,$C21,0))</f>
        <v/>
      </c>
      <c r="N21" s="94" t="str">
        <f ca="1">IF($C21=0,"",OFFSET(INPUTS!N$5,$C21,0))</f>
        <v/>
      </c>
      <c r="O21" s="94" t="str">
        <f ca="1">IF($C21=0,"",OFFSET(INPUTS!O$5,$C21,0))</f>
        <v/>
      </c>
      <c r="P21" s="114" t="str">
        <f ca="1">IF($C21=0,"",OFFSET(INPUTS!P$5,$C21,0))</f>
        <v/>
      </c>
      <c r="Q21" s="141" t="str">
        <f ca="1">IF($C21=0,"",OFFSET(INPUTS!Q$5,$C21,0))</f>
        <v/>
      </c>
      <c r="R21" s="37" t="str">
        <f t="shared" si="9"/>
        <v/>
      </c>
      <c r="S21" s="38">
        <f t="shared" ca="1" si="10"/>
        <v>0</v>
      </c>
      <c r="T21" s="129" t="str">
        <f t="shared" si="0"/>
        <v>none</v>
      </c>
      <c r="U21" s="126" t="str">
        <f t="shared" ca="1" si="1"/>
        <v/>
      </c>
      <c r="V21" s="151" t="str">
        <f t="shared" ca="1" si="11"/>
        <v/>
      </c>
      <c r="W21" s="131" t="str">
        <f t="shared" ca="1" si="2"/>
        <v/>
      </c>
      <c r="X21" s="39" t="str">
        <f t="shared" si="3"/>
        <v>none</v>
      </c>
      <c r="Y21" s="35" t="str">
        <f t="shared" ca="1" si="12"/>
        <v/>
      </c>
      <c r="Z21" s="75" t="str">
        <f t="shared" si="4"/>
        <v/>
      </c>
      <c r="AA21" s="40" t="str">
        <f t="shared" si="5"/>
        <v/>
      </c>
      <c r="AB21" s="171" t="str">
        <f t="shared" si="13"/>
        <v/>
      </c>
      <c r="AC21" s="41" t="str">
        <f t="shared" si="6"/>
        <v/>
      </c>
      <c r="AD21" s="35" t="str">
        <f t="shared" si="7"/>
        <v/>
      </c>
      <c r="AE21" s="42" t="str">
        <f t="shared" si="8"/>
        <v/>
      </c>
      <c r="AF21" s="147" t="str">
        <f t="shared" si="14"/>
        <v/>
      </c>
      <c r="AG21" s="35" t="str">
        <f t="shared" si="15"/>
        <v/>
      </c>
      <c r="AH21" s="118">
        <v>0</v>
      </c>
      <c r="AI21" s="125">
        <f>IF(C$6=0,0,SUMIF('Prepool 1'!$X$5:$X$38,X21,'Prepool 1'!$AH$5:$AH$38))</f>
        <v>0</v>
      </c>
    </row>
    <row r="22" spans="1:35" ht="15.65" hidden="1" x14ac:dyDescent="0.3">
      <c r="A22" s="36" t="str">
        <f>IF(INPUTS!A22=0,"none",INPUTS!A22)</f>
        <v>none</v>
      </c>
      <c r="B22" s="36" t="str">
        <f>IF(INPUTS!B22=0,"none",INPUTS!B22)</f>
        <v>none</v>
      </c>
      <c r="C22" s="110">
        <f>IF(B22="none",0,MATCH(B22,INPUTS!$B$6:$B$69,0))</f>
        <v>0</v>
      </c>
      <c r="D22" s="94" t="str">
        <f ca="1">IF($C22=0,"",OFFSET(INPUTS!D$5,$C22,0))</f>
        <v/>
      </c>
      <c r="E22" s="94" t="str">
        <f ca="1">IF($C22=0,"",OFFSET(INPUTS!E$5,$C22,0))</f>
        <v/>
      </c>
      <c r="F22" s="115" t="str">
        <f ca="1">IF($C22=0,"",OFFSET(INPUTS!F$5,$C22,0))</f>
        <v/>
      </c>
      <c r="G22" s="115" t="str">
        <f ca="1">IF($C22=0,"",OFFSET(INPUTS!G$5,$C22,0))</f>
        <v/>
      </c>
      <c r="H22" s="94" t="str">
        <f ca="1">IF($C22=0,"",OFFSET(INPUTS!H$5,$C22,0))</f>
        <v/>
      </c>
      <c r="I22" s="94" t="str">
        <f ca="1">IF($C22=0,"",OFFSET(INPUTS!I$5,$C22,0))</f>
        <v/>
      </c>
      <c r="J22" s="94" t="str">
        <f ca="1">IF($C22=0,"",OFFSET(INPUTS!J$5,$C22,0))</f>
        <v/>
      </c>
      <c r="K22" s="114" t="str">
        <f ca="1">IF($C22=0,"",OFFSET(INPUTS!K$5,$C22,0))</f>
        <v/>
      </c>
      <c r="L22" s="114" t="str">
        <f ca="1">IF($C22=0,"",OFFSET(INPUTS!L$5,$C22,0))</f>
        <v/>
      </c>
      <c r="M22" s="94" t="str">
        <f ca="1">IF($C22=0,"",OFFSET(INPUTS!M$5,$C22,0))</f>
        <v/>
      </c>
      <c r="N22" s="94" t="str">
        <f ca="1">IF($C22=0,"",OFFSET(INPUTS!N$5,$C22,0))</f>
        <v/>
      </c>
      <c r="O22" s="94" t="str">
        <f ca="1">IF($C22=0,"",OFFSET(INPUTS!O$5,$C22,0))</f>
        <v/>
      </c>
      <c r="P22" s="114" t="str">
        <f ca="1">IF($C22=0,"",OFFSET(INPUTS!P$5,$C22,0))</f>
        <v/>
      </c>
      <c r="Q22" s="141" t="str">
        <f ca="1">IF($C22=0,"",OFFSET(INPUTS!Q$5,$C22,0))</f>
        <v/>
      </c>
      <c r="R22" s="37" t="str">
        <f t="shared" si="9"/>
        <v/>
      </c>
      <c r="S22" s="38">
        <f t="shared" ref="S22:S34" ca="1" si="16">SUM(J22,R22)</f>
        <v>0</v>
      </c>
      <c r="T22" s="129" t="str">
        <f t="shared" ref="T22:T34" si="17">IF(A22=0,"",A22)</f>
        <v>none</v>
      </c>
      <c r="U22" s="126" t="str">
        <f t="shared" ref="U22:U34" ca="1" si="18">IF(M22=0,"",M22)</f>
        <v/>
      </c>
      <c r="V22" s="151" t="str">
        <f t="shared" ca="1" si="11"/>
        <v/>
      </c>
      <c r="W22" s="131" t="str">
        <f t="shared" ca="1" si="2"/>
        <v/>
      </c>
      <c r="X22" s="39" t="str">
        <f t="shared" si="3"/>
        <v>none</v>
      </c>
      <c r="Y22" s="35" t="str">
        <f t="shared" ref="Y22:Y34" ca="1" si="19">IF(N22=0,"",N22)</f>
        <v/>
      </c>
      <c r="Z22" s="75" t="str">
        <f t="shared" ref="Z22:Z34" si="20">IF($AH22=0,"",IF($R22="","",IF(AF22&lt;0.2,10,IF(AF22&lt;0.795,5,""))))</f>
        <v/>
      </c>
      <c r="AA22" s="40" t="str">
        <f t="shared" ref="AA22:AA34" si="21">IF($AH22=0,"",IF($R22="","",AF22*IF($Z22="",1,$Z22)))</f>
        <v/>
      </c>
      <c r="AB22" s="171" t="str">
        <f t="shared" si="13"/>
        <v/>
      </c>
      <c r="AC22" s="41" t="str">
        <f t="shared" ref="AC22:AC34" si="22">IF($AH22=0,"",IF($R22="","",R22*$AA22/IF($Z22="",1,$Z22)))</f>
        <v/>
      </c>
      <c r="AD22" s="35" t="str">
        <f t="shared" ref="AD22:AD34" si="23">IF($AH22=0,"",IF($R22="","",S22*$AA22/IF($Z22="",1,$Z22)))</f>
        <v/>
      </c>
      <c r="AE22" s="42" t="str">
        <f t="shared" ref="AE22:AE34" si="24">IF($AH22=0,"",IF($R22="","",D22*$AA22/IF($Z22="",1,$Z22)))</f>
        <v/>
      </c>
      <c r="AF22" s="147" t="str">
        <f t="shared" ref="AF22:AF34" si="25">IF(R22="","",$AA$4/R22*Q22)</f>
        <v/>
      </c>
      <c r="AG22" s="35" t="str">
        <f t="shared" ref="AG22:AG34" si="26">IF($AH22=0,"",Q22)</f>
        <v/>
      </c>
      <c r="AH22" s="118">
        <v>0</v>
      </c>
      <c r="AI22" s="125">
        <f>IF(C$6=0,0,SUMIF('Prepool 1'!$X$5:$X$38,X22,'Prepool 1'!$AH$5:$AH$38))</f>
        <v>0</v>
      </c>
    </row>
    <row r="23" spans="1:35" ht="15.65" hidden="1" x14ac:dyDescent="0.3">
      <c r="A23" s="36" t="str">
        <f>IF(INPUTS!A23=0,"none",INPUTS!A23)</f>
        <v>none</v>
      </c>
      <c r="B23" s="36" t="str">
        <f>IF(INPUTS!B23=0,"none",INPUTS!B23)</f>
        <v>none</v>
      </c>
      <c r="C23" s="110">
        <f>IF(B23="none",0,MATCH(B23,INPUTS!$B$6:$B$69,0))</f>
        <v>0</v>
      </c>
      <c r="D23" s="94" t="str">
        <f ca="1">IF($C23=0,"",OFFSET(INPUTS!D$5,$C23,0))</f>
        <v/>
      </c>
      <c r="E23" s="94" t="str">
        <f ca="1">IF($C23=0,"",OFFSET(INPUTS!E$5,$C23,0))</f>
        <v/>
      </c>
      <c r="F23" s="115" t="str">
        <f ca="1">IF($C23=0,"",OFFSET(INPUTS!F$5,$C23,0))</f>
        <v/>
      </c>
      <c r="G23" s="115" t="str">
        <f ca="1">IF($C23=0,"",OFFSET(INPUTS!G$5,$C23,0))</f>
        <v/>
      </c>
      <c r="H23" s="94" t="str">
        <f ca="1">IF($C23=0,"",OFFSET(INPUTS!H$5,$C23,0))</f>
        <v/>
      </c>
      <c r="I23" s="94" t="str">
        <f ca="1">IF($C23=0,"",OFFSET(INPUTS!I$5,$C23,0))</f>
        <v/>
      </c>
      <c r="J23" s="94" t="str">
        <f ca="1">IF($C23=0,"",OFFSET(INPUTS!J$5,$C23,0))</f>
        <v/>
      </c>
      <c r="K23" s="114" t="str">
        <f ca="1">IF($C23=0,"",OFFSET(INPUTS!K$5,$C23,0))</f>
        <v/>
      </c>
      <c r="L23" s="114" t="str">
        <f ca="1">IF($C23=0,"",OFFSET(INPUTS!L$5,$C23,0))</f>
        <v/>
      </c>
      <c r="M23" s="94" t="str">
        <f ca="1">IF($C23=0,"",OFFSET(INPUTS!M$5,$C23,0))</f>
        <v/>
      </c>
      <c r="N23" s="94" t="str">
        <f ca="1">IF($C23=0,"",OFFSET(INPUTS!N$5,$C23,0))</f>
        <v/>
      </c>
      <c r="O23" s="94" t="str">
        <f ca="1">IF($C23=0,"",OFFSET(INPUTS!O$5,$C23,0))</f>
        <v/>
      </c>
      <c r="P23" s="114" t="str">
        <f ca="1">IF($C23=0,"",OFFSET(INPUTS!P$5,$C23,0))</f>
        <v/>
      </c>
      <c r="Q23" s="141" t="str">
        <f ca="1">IF($C23=0,"",OFFSET(INPUTS!Q$5,$C23,0))</f>
        <v/>
      </c>
      <c r="R23" s="37" t="str">
        <f t="shared" si="9"/>
        <v/>
      </c>
      <c r="S23" s="38">
        <f t="shared" ca="1" si="16"/>
        <v>0</v>
      </c>
      <c r="T23" s="129" t="str">
        <f t="shared" si="17"/>
        <v>none</v>
      </c>
      <c r="U23" s="126" t="str">
        <f t="shared" ca="1" si="18"/>
        <v/>
      </c>
      <c r="V23" s="151" t="str">
        <f t="shared" ca="1" si="11"/>
        <v/>
      </c>
      <c r="W23" s="131" t="str">
        <f t="shared" ca="1" si="2"/>
        <v/>
      </c>
      <c r="X23" s="39" t="str">
        <f t="shared" si="3"/>
        <v>none</v>
      </c>
      <c r="Y23" s="35" t="str">
        <f t="shared" ca="1" si="19"/>
        <v/>
      </c>
      <c r="Z23" s="75" t="str">
        <f t="shared" si="20"/>
        <v/>
      </c>
      <c r="AA23" s="40" t="str">
        <f t="shared" si="21"/>
        <v/>
      </c>
      <c r="AB23" s="171" t="str">
        <f t="shared" si="13"/>
        <v/>
      </c>
      <c r="AC23" s="41" t="str">
        <f t="shared" si="22"/>
        <v/>
      </c>
      <c r="AD23" s="35" t="str">
        <f t="shared" si="23"/>
        <v/>
      </c>
      <c r="AE23" s="42" t="str">
        <f t="shared" si="24"/>
        <v/>
      </c>
      <c r="AF23" s="147" t="str">
        <f t="shared" si="25"/>
        <v/>
      </c>
      <c r="AG23" s="35" t="str">
        <f t="shared" si="26"/>
        <v/>
      </c>
      <c r="AH23" s="118">
        <v>0</v>
      </c>
      <c r="AI23" s="125">
        <f>IF(C$6=0,0,SUMIF('Prepool 1'!$X$5:$X$38,X23,'Prepool 1'!$AH$5:$AH$38))</f>
        <v>0</v>
      </c>
    </row>
    <row r="24" spans="1:35" ht="15.65" hidden="1" x14ac:dyDescent="0.3">
      <c r="A24" s="36" t="str">
        <f>IF(INPUTS!A24=0,"none",INPUTS!A24)</f>
        <v>none</v>
      </c>
      <c r="B24" s="36" t="str">
        <f>IF(INPUTS!B24=0,"none",INPUTS!B24)</f>
        <v>none</v>
      </c>
      <c r="C24" s="110">
        <f>IF(B24="none",0,MATCH(B24,INPUTS!$B$6:$B$69,0))</f>
        <v>0</v>
      </c>
      <c r="D24" s="94" t="str">
        <f ca="1">IF($C24=0,"",OFFSET(INPUTS!D$5,$C24,0))</f>
        <v/>
      </c>
      <c r="E24" s="94" t="str">
        <f ca="1">IF($C24=0,"",OFFSET(INPUTS!E$5,$C24,0))</f>
        <v/>
      </c>
      <c r="F24" s="115" t="str">
        <f ca="1">IF($C24=0,"",OFFSET(INPUTS!F$5,$C24,0))</f>
        <v/>
      </c>
      <c r="G24" s="115" t="str">
        <f ca="1">IF($C24=0,"",OFFSET(INPUTS!G$5,$C24,0))</f>
        <v/>
      </c>
      <c r="H24" s="94" t="str">
        <f ca="1">IF($C24=0,"",OFFSET(INPUTS!H$5,$C24,0))</f>
        <v/>
      </c>
      <c r="I24" s="94" t="str">
        <f ca="1">IF($C24=0,"",OFFSET(INPUTS!I$5,$C24,0))</f>
        <v/>
      </c>
      <c r="J24" s="94" t="str">
        <f ca="1">IF($C24=0,"",OFFSET(INPUTS!J$5,$C24,0))</f>
        <v/>
      </c>
      <c r="K24" s="114" t="str">
        <f ca="1">IF($C24=0,"",OFFSET(INPUTS!K$5,$C24,0))</f>
        <v/>
      </c>
      <c r="L24" s="114" t="str">
        <f ca="1">IF($C24=0,"",OFFSET(INPUTS!L$5,$C24,0))</f>
        <v/>
      </c>
      <c r="M24" s="94" t="str">
        <f ca="1">IF($C24=0,"",OFFSET(INPUTS!M$5,$C24,0))</f>
        <v/>
      </c>
      <c r="N24" s="94" t="str">
        <f ca="1">IF($C24=0,"",OFFSET(INPUTS!N$5,$C24,0))</f>
        <v/>
      </c>
      <c r="O24" s="94" t="str">
        <f ca="1">IF($C24=0,"",OFFSET(INPUTS!O$5,$C24,0))</f>
        <v/>
      </c>
      <c r="P24" s="114" t="str">
        <f ca="1">IF($C24=0,"",OFFSET(INPUTS!P$5,$C24,0))</f>
        <v/>
      </c>
      <c r="Q24" s="141" t="str">
        <f ca="1">IF($C24=0,"",OFFSET(INPUTS!Q$5,$C24,0))</f>
        <v/>
      </c>
      <c r="R24" s="37" t="str">
        <f t="shared" si="9"/>
        <v/>
      </c>
      <c r="S24" s="38">
        <f t="shared" ca="1" si="16"/>
        <v>0</v>
      </c>
      <c r="T24" s="129" t="str">
        <f t="shared" si="17"/>
        <v>none</v>
      </c>
      <c r="U24" s="126" t="str">
        <f t="shared" ca="1" si="18"/>
        <v/>
      </c>
      <c r="V24" s="151" t="str">
        <f t="shared" ca="1" si="11"/>
        <v/>
      </c>
      <c r="W24" s="131" t="str">
        <f t="shared" ca="1" si="2"/>
        <v/>
      </c>
      <c r="X24" s="39" t="str">
        <f t="shared" si="3"/>
        <v>none</v>
      </c>
      <c r="Y24" s="35" t="str">
        <f t="shared" ca="1" si="19"/>
        <v/>
      </c>
      <c r="Z24" s="75" t="str">
        <f t="shared" si="20"/>
        <v/>
      </c>
      <c r="AA24" s="40" t="str">
        <f t="shared" si="21"/>
        <v/>
      </c>
      <c r="AB24" s="171" t="str">
        <f t="shared" si="13"/>
        <v/>
      </c>
      <c r="AC24" s="41" t="str">
        <f t="shared" si="22"/>
        <v/>
      </c>
      <c r="AD24" s="35" t="str">
        <f t="shared" si="23"/>
        <v/>
      </c>
      <c r="AE24" s="42" t="str">
        <f t="shared" si="24"/>
        <v/>
      </c>
      <c r="AF24" s="147" t="str">
        <f t="shared" si="25"/>
        <v/>
      </c>
      <c r="AG24" s="35" t="str">
        <f t="shared" si="26"/>
        <v/>
      </c>
      <c r="AH24" s="118">
        <v>0</v>
      </c>
      <c r="AI24" s="125">
        <f>IF(C$6=0,0,SUMIF('Prepool 1'!$X$5:$X$38,X24,'Prepool 1'!$AH$5:$AH$38))</f>
        <v>0</v>
      </c>
    </row>
    <row r="25" spans="1:35" ht="15.65" hidden="1" x14ac:dyDescent="0.3">
      <c r="A25" s="36" t="str">
        <f>IF(INPUTS!A25=0,"none",INPUTS!A25)</f>
        <v>none</v>
      </c>
      <c r="B25" s="36" t="str">
        <f>IF(INPUTS!B25=0,"none",INPUTS!B25)</f>
        <v>none</v>
      </c>
      <c r="C25" s="110">
        <f>IF(B25="none",0,MATCH(B25,INPUTS!$B$6:$B$69,0))</f>
        <v>0</v>
      </c>
      <c r="D25" s="94" t="str">
        <f ca="1">IF($C25=0,"",OFFSET(INPUTS!D$5,$C25,0))</f>
        <v/>
      </c>
      <c r="E25" s="94" t="str">
        <f ca="1">IF($C25=0,"",OFFSET(INPUTS!E$5,$C25,0))</f>
        <v/>
      </c>
      <c r="F25" s="115" t="str">
        <f ca="1">IF($C25=0,"",OFFSET(INPUTS!F$5,$C25,0))</f>
        <v/>
      </c>
      <c r="G25" s="115" t="str">
        <f ca="1">IF($C25=0,"",OFFSET(INPUTS!G$5,$C25,0))</f>
        <v/>
      </c>
      <c r="H25" s="94" t="str">
        <f ca="1">IF($C25=0,"",OFFSET(INPUTS!H$5,$C25,0))</f>
        <v/>
      </c>
      <c r="I25" s="94" t="str">
        <f ca="1">IF($C25=0,"",OFFSET(INPUTS!I$5,$C25,0))</f>
        <v/>
      </c>
      <c r="J25" s="94" t="str">
        <f ca="1">IF($C25=0,"",OFFSET(INPUTS!J$5,$C25,0))</f>
        <v/>
      </c>
      <c r="K25" s="114" t="str">
        <f ca="1">IF($C25=0,"",OFFSET(INPUTS!K$5,$C25,0))</f>
        <v/>
      </c>
      <c r="L25" s="114" t="str">
        <f ca="1">IF($C25=0,"",OFFSET(INPUTS!L$5,$C25,0))</f>
        <v/>
      </c>
      <c r="M25" s="94" t="str">
        <f ca="1">IF($C25=0,"",OFFSET(INPUTS!M$5,$C25,0))</f>
        <v/>
      </c>
      <c r="N25" s="94" t="str">
        <f ca="1">IF($C25=0,"",OFFSET(INPUTS!N$5,$C25,0))</f>
        <v/>
      </c>
      <c r="O25" s="94" t="str">
        <f ca="1">IF($C25=0,"",OFFSET(INPUTS!O$5,$C25,0))</f>
        <v/>
      </c>
      <c r="P25" s="114" t="str">
        <f ca="1">IF($C25=0,"",OFFSET(INPUTS!P$5,$C25,0))</f>
        <v/>
      </c>
      <c r="Q25" s="141" t="str">
        <f ca="1">IF($C25=0,"",OFFSET(INPUTS!Q$5,$C25,0))</f>
        <v/>
      </c>
      <c r="R25" s="37" t="str">
        <f t="shared" si="9"/>
        <v/>
      </c>
      <c r="S25" s="38">
        <f t="shared" ca="1" si="16"/>
        <v>0</v>
      </c>
      <c r="T25" s="129" t="str">
        <f t="shared" si="17"/>
        <v>none</v>
      </c>
      <c r="U25" s="126" t="str">
        <f t="shared" ca="1" si="18"/>
        <v/>
      </c>
      <c r="V25" s="151" t="str">
        <f t="shared" ca="1" si="11"/>
        <v/>
      </c>
      <c r="W25" s="131" t="str">
        <f t="shared" ca="1" si="2"/>
        <v/>
      </c>
      <c r="X25" s="39" t="str">
        <f t="shared" si="3"/>
        <v>none</v>
      </c>
      <c r="Y25" s="35" t="str">
        <f t="shared" ca="1" si="19"/>
        <v/>
      </c>
      <c r="Z25" s="75" t="str">
        <f t="shared" si="20"/>
        <v/>
      </c>
      <c r="AA25" s="40" t="str">
        <f t="shared" si="21"/>
        <v/>
      </c>
      <c r="AB25" s="171" t="str">
        <f t="shared" si="13"/>
        <v/>
      </c>
      <c r="AC25" s="41" t="str">
        <f t="shared" si="22"/>
        <v/>
      </c>
      <c r="AD25" s="35" t="str">
        <f t="shared" si="23"/>
        <v/>
      </c>
      <c r="AE25" s="42" t="str">
        <f t="shared" si="24"/>
        <v/>
      </c>
      <c r="AF25" s="147" t="str">
        <f t="shared" si="25"/>
        <v/>
      </c>
      <c r="AG25" s="35" t="str">
        <f t="shared" si="26"/>
        <v/>
      </c>
      <c r="AH25" s="118">
        <v>0</v>
      </c>
      <c r="AI25" s="125">
        <f>IF(C$6=0,0,SUMIF('Prepool 1'!$X$5:$X$38,X25,'Prepool 1'!$AH$5:$AH$38))</f>
        <v>0</v>
      </c>
    </row>
    <row r="26" spans="1:35" ht="15.65" hidden="1" x14ac:dyDescent="0.3">
      <c r="A26" s="36" t="str">
        <f>IF(INPUTS!A26=0,"none",INPUTS!A26)</f>
        <v>none</v>
      </c>
      <c r="B26" s="36" t="str">
        <f>IF(INPUTS!B26=0,"none",INPUTS!B26)</f>
        <v>none</v>
      </c>
      <c r="C26" s="110">
        <f>IF(B26="none",0,MATCH(B26,INPUTS!$B$6:$B$69,0))</f>
        <v>0</v>
      </c>
      <c r="D26" s="94" t="str">
        <f ca="1">IF($C26=0,"",OFFSET(INPUTS!D$5,$C26,0))</f>
        <v/>
      </c>
      <c r="E26" s="94" t="str">
        <f ca="1">IF($C26=0,"",OFFSET(INPUTS!E$5,$C26,0))</f>
        <v/>
      </c>
      <c r="F26" s="115" t="str">
        <f ca="1">IF($C26=0,"",OFFSET(INPUTS!F$5,$C26,0))</f>
        <v/>
      </c>
      <c r="G26" s="115" t="str">
        <f ca="1">IF($C26=0,"",OFFSET(INPUTS!G$5,$C26,0))</f>
        <v/>
      </c>
      <c r="H26" s="94" t="str">
        <f ca="1">IF($C26=0,"",OFFSET(INPUTS!H$5,$C26,0))</f>
        <v/>
      </c>
      <c r="I26" s="94" t="str">
        <f ca="1">IF($C26=0,"",OFFSET(INPUTS!I$5,$C26,0))</f>
        <v/>
      </c>
      <c r="J26" s="94" t="str">
        <f ca="1">IF($C26=0,"",OFFSET(INPUTS!J$5,$C26,0))</f>
        <v/>
      </c>
      <c r="K26" s="114" t="str">
        <f ca="1">IF($C26=0,"",OFFSET(INPUTS!K$5,$C26,0))</f>
        <v/>
      </c>
      <c r="L26" s="114" t="str">
        <f ca="1">IF($C26=0,"",OFFSET(INPUTS!L$5,$C26,0))</f>
        <v/>
      </c>
      <c r="M26" s="94" t="str">
        <f ca="1">IF($C26=0,"",OFFSET(INPUTS!M$5,$C26,0))</f>
        <v/>
      </c>
      <c r="N26" s="94" t="str">
        <f ca="1">IF($C26=0,"",OFFSET(INPUTS!N$5,$C26,0))</f>
        <v/>
      </c>
      <c r="O26" s="94" t="str">
        <f ca="1">IF($C26=0,"",OFFSET(INPUTS!O$5,$C26,0))</f>
        <v/>
      </c>
      <c r="P26" s="114" t="str">
        <f ca="1">IF($C26=0,"",OFFSET(INPUTS!P$5,$C26,0))</f>
        <v/>
      </c>
      <c r="Q26" s="141" t="str">
        <f ca="1">IF($C26=0,"",OFFSET(INPUTS!Q$5,$C26,0))</f>
        <v/>
      </c>
      <c r="R26" s="37" t="str">
        <f t="shared" si="9"/>
        <v/>
      </c>
      <c r="S26" s="38">
        <f t="shared" ca="1" si="16"/>
        <v>0</v>
      </c>
      <c r="T26" s="129" t="str">
        <f t="shared" si="17"/>
        <v>none</v>
      </c>
      <c r="U26" s="126" t="str">
        <f t="shared" ca="1" si="18"/>
        <v/>
      </c>
      <c r="V26" s="151" t="str">
        <f t="shared" ca="1" si="11"/>
        <v/>
      </c>
      <c r="W26" s="131" t="str">
        <f t="shared" ca="1" si="2"/>
        <v/>
      </c>
      <c r="X26" s="39" t="str">
        <f t="shared" si="3"/>
        <v>none</v>
      </c>
      <c r="Y26" s="35" t="str">
        <f t="shared" ca="1" si="19"/>
        <v/>
      </c>
      <c r="Z26" s="75" t="str">
        <f t="shared" si="20"/>
        <v/>
      </c>
      <c r="AA26" s="40" t="str">
        <f t="shared" si="21"/>
        <v/>
      </c>
      <c r="AB26" s="171" t="str">
        <f t="shared" si="13"/>
        <v/>
      </c>
      <c r="AC26" s="41" t="str">
        <f t="shared" si="22"/>
        <v/>
      </c>
      <c r="AD26" s="35" t="str">
        <f t="shared" si="23"/>
        <v/>
      </c>
      <c r="AE26" s="42" t="str">
        <f t="shared" si="24"/>
        <v/>
      </c>
      <c r="AF26" s="147" t="str">
        <f t="shared" si="25"/>
        <v/>
      </c>
      <c r="AG26" s="35" t="str">
        <f t="shared" si="26"/>
        <v/>
      </c>
      <c r="AH26" s="118">
        <v>0</v>
      </c>
      <c r="AI26" s="125">
        <f>IF(C$6=0,0,SUMIF('Prepool 1'!$X$5:$X$38,X26,'Prepool 1'!$AH$5:$AH$38))</f>
        <v>0</v>
      </c>
    </row>
    <row r="27" spans="1:35" ht="15.65" hidden="1" x14ac:dyDescent="0.3">
      <c r="A27" s="36" t="str">
        <f>IF(INPUTS!A27=0,"none",INPUTS!A27)</f>
        <v>none</v>
      </c>
      <c r="B27" s="36" t="str">
        <f>IF(INPUTS!B27=0,"none",INPUTS!B27)</f>
        <v>none</v>
      </c>
      <c r="C27" s="110">
        <f>IF(B27="none",0,MATCH(B27,INPUTS!$B$6:$B$69,0))</f>
        <v>0</v>
      </c>
      <c r="D27" s="94" t="str">
        <f ca="1">IF($C27=0,"",OFFSET(INPUTS!D$5,$C27,0))</f>
        <v/>
      </c>
      <c r="E27" s="94" t="str">
        <f ca="1">IF($C27=0,"",OFFSET(INPUTS!E$5,$C27,0))</f>
        <v/>
      </c>
      <c r="F27" s="115" t="str">
        <f ca="1">IF($C27=0,"",OFFSET(INPUTS!F$5,$C27,0))</f>
        <v/>
      </c>
      <c r="G27" s="115" t="str">
        <f ca="1">IF($C27=0,"",OFFSET(INPUTS!G$5,$C27,0))</f>
        <v/>
      </c>
      <c r="H27" s="94" t="str">
        <f ca="1">IF($C27=0,"",OFFSET(INPUTS!H$5,$C27,0))</f>
        <v/>
      </c>
      <c r="I27" s="94" t="str">
        <f ca="1">IF($C27=0,"",OFFSET(INPUTS!I$5,$C27,0))</f>
        <v/>
      </c>
      <c r="J27" s="94" t="str">
        <f ca="1">IF($C27=0,"",OFFSET(INPUTS!J$5,$C27,0))</f>
        <v/>
      </c>
      <c r="K27" s="114" t="str">
        <f ca="1">IF($C27=0,"",OFFSET(INPUTS!K$5,$C27,0))</f>
        <v/>
      </c>
      <c r="L27" s="114" t="str">
        <f ca="1">IF($C27=0,"",OFFSET(INPUTS!L$5,$C27,0))</f>
        <v/>
      </c>
      <c r="M27" s="94" t="str">
        <f ca="1">IF($C27=0,"",OFFSET(INPUTS!M$5,$C27,0))</f>
        <v/>
      </c>
      <c r="N27" s="94" t="str">
        <f ca="1">IF($C27=0,"",OFFSET(INPUTS!N$5,$C27,0))</f>
        <v/>
      </c>
      <c r="O27" s="94" t="str">
        <f ca="1">IF($C27=0,"",OFFSET(INPUTS!O$5,$C27,0))</f>
        <v/>
      </c>
      <c r="P27" s="114" t="str">
        <f ca="1">IF($C27=0,"",OFFSET(INPUTS!P$5,$C27,0))</f>
        <v/>
      </c>
      <c r="Q27" s="141" t="str">
        <f ca="1">IF($C27=0,"",OFFSET(INPUTS!Q$5,$C27,0))</f>
        <v/>
      </c>
      <c r="R27" s="37" t="str">
        <f t="shared" si="9"/>
        <v/>
      </c>
      <c r="S27" s="38">
        <f t="shared" ca="1" si="16"/>
        <v>0</v>
      </c>
      <c r="T27" s="129" t="str">
        <f t="shared" si="17"/>
        <v>none</v>
      </c>
      <c r="U27" s="126" t="str">
        <f t="shared" ca="1" si="18"/>
        <v/>
      </c>
      <c r="V27" s="151" t="str">
        <f t="shared" ca="1" si="11"/>
        <v/>
      </c>
      <c r="W27" s="131" t="str">
        <f t="shared" ca="1" si="2"/>
        <v/>
      </c>
      <c r="X27" s="39" t="str">
        <f t="shared" si="3"/>
        <v>none</v>
      </c>
      <c r="Y27" s="35" t="str">
        <f t="shared" ca="1" si="19"/>
        <v/>
      </c>
      <c r="Z27" s="75" t="str">
        <f t="shared" si="20"/>
        <v/>
      </c>
      <c r="AA27" s="40" t="str">
        <f t="shared" si="21"/>
        <v/>
      </c>
      <c r="AB27" s="171" t="str">
        <f t="shared" si="13"/>
        <v/>
      </c>
      <c r="AC27" s="41" t="str">
        <f t="shared" si="22"/>
        <v/>
      </c>
      <c r="AD27" s="35" t="str">
        <f t="shared" si="23"/>
        <v/>
      </c>
      <c r="AE27" s="42" t="str">
        <f t="shared" si="24"/>
        <v/>
      </c>
      <c r="AF27" s="147" t="str">
        <f t="shared" si="25"/>
        <v/>
      </c>
      <c r="AG27" s="35" t="str">
        <f t="shared" si="26"/>
        <v/>
      </c>
      <c r="AH27" s="118">
        <v>0</v>
      </c>
      <c r="AI27" s="125">
        <f>IF(C$6=0,0,SUMIF('Prepool 1'!$X$5:$X$38,X27,'Prepool 1'!$AH$5:$AH$38))</f>
        <v>0</v>
      </c>
    </row>
    <row r="28" spans="1:35" ht="15.65" hidden="1" x14ac:dyDescent="0.3">
      <c r="A28" s="36" t="str">
        <f>IF(INPUTS!A28=0,"none",INPUTS!A28)</f>
        <v>none</v>
      </c>
      <c r="B28" s="36" t="str">
        <f>IF(INPUTS!B28=0,"none",INPUTS!B28)</f>
        <v>none</v>
      </c>
      <c r="C28" s="110">
        <f>IF(B28="none",0,MATCH(B28,INPUTS!$B$6:$B$69,0))</f>
        <v>0</v>
      </c>
      <c r="D28" s="94" t="str">
        <f ca="1">IF($C28=0,"",OFFSET(INPUTS!D$5,$C28,0))</f>
        <v/>
      </c>
      <c r="E28" s="94" t="str">
        <f ca="1">IF($C28=0,"",OFFSET(INPUTS!E$5,$C28,0))</f>
        <v/>
      </c>
      <c r="F28" s="115" t="str">
        <f ca="1">IF($C28=0,"",OFFSET(INPUTS!F$5,$C28,0))</f>
        <v/>
      </c>
      <c r="G28" s="115" t="str">
        <f ca="1">IF($C28=0,"",OFFSET(INPUTS!G$5,$C28,0))</f>
        <v/>
      </c>
      <c r="H28" s="94" t="str">
        <f ca="1">IF($C28=0,"",OFFSET(INPUTS!H$5,$C28,0))</f>
        <v/>
      </c>
      <c r="I28" s="94" t="str">
        <f ca="1">IF($C28=0,"",OFFSET(INPUTS!I$5,$C28,0))</f>
        <v/>
      </c>
      <c r="J28" s="94" t="str">
        <f ca="1">IF($C28=0,"",OFFSET(INPUTS!J$5,$C28,0))</f>
        <v/>
      </c>
      <c r="K28" s="114" t="str">
        <f ca="1">IF($C28=0,"",OFFSET(INPUTS!K$5,$C28,0))</f>
        <v/>
      </c>
      <c r="L28" s="114" t="str">
        <f ca="1">IF($C28=0,"",OFFSET(INPUTS!L$5,$C28,0))</f>
        <v/>
      </c>
      <c r="M28" s="94" t="str">
        <f ca="1">IF($C28=0,"",OFFSET(INPUTS!M$5,$C28,0))</f>
        <v/>
      </c>
      <c r="N28" s="94" t="str">
        <f ca="1">IF($C28=0,"",OFFSET(INPUTS!N$5,$C28,0))</f>
        <v/>
      </c>
      <c r="O28" s="94" t="str">
        <f ca="1">IF($C28=0,"",OFFSET(INPUTS!O$5,$C28,0))</f>
        <v/>
      </c>
      <c r="P28" s="114" t="str">
        <f ca="1">IF($C28=0,"",OFFSET(INPUTS!P$5,$C28,0))</f>
        <v/>
      </c>
      <c r="Q28" s="141" t="str">
        <f ca="1">IF($C28=0,"",OFFSET(INPUTS!Q$5,$C28,0))</f>
        <v/>
      </c>
      <c r="R28" s="37" t="str">
        <f t="shared" si="9"/>
        <v/>
      </c>
      <c r="S28" s="38">
        <f t="shared" ca="1" si="16"/>
        <v>0</v>
      </c>
      <c r="T28" s="129" t="str">
        <f t="shared" si="17"/>
        <v>none</v>
      </c>
      <c r="U28" s="126" t="str">
        <f t="shared" ca="1" si="18"/>
        <v/>
      </c>
      <c r="V28" s="151" t="str">
        <f t="shared" ca="1" si="11"/>
        <v/>
      </c>
      <c r="W28" s="131" t="str">
        <f t="shared" ca="1" si="2"/>
        <v/>
      </c>
      <c r="X28" s="39" t="str">
        <f t="shared" si="3"/>
        <v>none</v>
      </c>
      <c r="Y28" s="35" t="str">
        <f t="shared" ca="1" si="19"/>
        <v/>
      </c>
      <c r="Z28" s="75" t="str">
        <f t="shared" si="20"/>
        <v/>
      </c>
      <c r="AA28" s="40" t="str">
        <f t="shared" si="21"/>
        <v/>
      </c>
      <c r="AB28" s="171" t="str">
        <f t="shared" si="13"/>
        <v/>
      </c>
      <c r="AC28" s="41" t="str">
        <f t="shared" si="22"/>
        <v/>
      </c>
      <c r="AD28" s="35" t="str">
        <f t="shared" si="23"/>
        <v/>
      </c>
      <c r="AE28" s="42" t="str">
        <f t="shared" si="24"/>
        <v/>
      </c>
      <c r="AF28" s="147" t="str">
        <f t="shared" si="25"/>
        <v/>
      </c>
      <c r="AG28" s="35" t="str">
        <f t="shared" si="26"/>
        <v/>
      </c>
      <c r="AH28" s="118">
        <v>0</v>
      </c>
      <c r="AI28" s="125">
        <f>IF(C$6=0,0,SUMIF('Prepool 1'!$X$5:$X$38,X28,'Prepool 1'!$AH$5:$AH$38))</f>
        <v>0</v>
      </c>
    </row>
    <row r="29" spans="1:35" ht="15.65" hidden="1" x14ac:dyDescent="0.3">
      <c r="A29" s="36" t="str">
        <f>IF(INPUTS!A29=0,"none",INPUTS!A29)</f>
        <v>none</v>
      </c>
      <c r="B29" s="36" t="str">
        <f>IF(INPUTS!B29=0,"none",INPUTS!B29)</f>
        <v>none</v>
      </c>
      <c r="C29" s="110">
        <f>IF(B29="none",0,MATCH(B29,INPUTS!$B$6:$B$69,0))</f>
        <v>0</v>
      </c>
      <c r="D29" s="94" t="str">
        <f ca="1">IF($C29=0,"",OFFSET(INPUTS!D$5,$C29,0))</f>
        <v/>
      </c>
      <c r="E29" s="94" t="str">
        <f ca="1">IF($C29=0,"",OFFSET(INPUTS!E$5,$C29,0))</f>
        <v/>
      </c>
      <c r="F29" s="115" t="str">
        <f ca="1">IF($C29=0,"",OFFSET(INPUTS!F$5,$C29,0))</f>
        <v/>
      </c>
      <c r="G29" s="115" t="str">
        <f ca="1">IF($C29=0,"",OFFSET(INPUTS!G$5,$C29,0))</f>
        <v/>
      </c>
      <c r="H29" s="94" t="str">
        <f ca="1">IF($C29=0,"",OFFSET(INPUTS!H$5,$C29,0))</f>
        <v/>
      </c>
      <c r="I29" s="94" t="str">
        <f ca="1">IF($C29=0,"",OFFSET(INPUTS!I$5,$C29,0))</f>
        <v/>
      </c>
      <c r="J29" s="94" t="str">
        <f ca="1">IF($C29=0,"",OFFSET(INPUTS!J$5,$C29,0))</f>
        <v/>
      </c>
      <c r="K29" s="114" t="str">
        <f ca="1">IF($C29=0,"",OFFSET(INPUTS!K$5,$C29,0))</f>
        <v/>
      </c>
      <c r="L29" s="114" t="str">
        <f ca="1">IF($C29=0,"",OFFSET(INPUTS!L$5,$C29,0))</f>
        <v/>
      </c>
      <c r="M29" s="94" t="str">
        <f ca="1">IF($C29=0,"",OFFSET(INPUTS!M$5,$C29,0))</f>
        <v/>
      </c>
      <c r="N29" s="94" t="str">
        <f ca="1">IF($C29=0,"",OFFSET(INPUTS!N$5,$C29,0))</f>
        <v/>
      </c>
      <c r="O29" s="94" t="str">
        <f ca="1">IF($C29=0,"",OFFSET(INPUTS!O$5,$C29,0))</f>
        <v/>
      </c>
      <c r="P29" s="114" t="str">
        <f ca="1">IF($C29=0,"",OFFSET(INPUTS!P$5,$C29,0))</f>
        <v/>
      </c>
      <c r="Q29" s="141" t="str">
        <f ca="1">IF($C29=0,"",OFFSET(INPUTS!Q$5,$C29,0))</f>
        <v/>
      </c>
      <c r="R29" s="37" t="str">
        <f t="shared" si="9"/>
        <v/>
      </c>
      <c r="S29" s="38">
        <f t="shared" ca="1" si="16"/>
        <v>0</v>
      </c>
      <c r="T29" s="129" t="str">
        <f t="shared" si="17"/>
        <v>none</v>
      </c>
      <c r="U29" s="126" t="str">
        <f t="shared" ca="1" si="18"/>
        <v/>
      </c>
      <c r="V29" s="151" t="str">
        <f t="shared" ca="1" si="11"/>
        <v/>
      </c>
      <c r="W29" s="131" t="str">
        <f t="shared" ca="1" si="2"/>
        <v/>
      </c>
      <c r="X29" s="39" t="str">
        <f t="shared" si="3"/>
        <v>none</v>
      </c>
      <c r="Y29" s="35" t="str">
        <f t="shared" ca="1" si="19"/>
        <v/>
      </c>
      <c r="Z29" s="75" t="str">
        <f t="shared" si="20"/>
        <v/>
      </c>
      <c r="AA29" s="40" t="str">
        <f t="shared" si="21"/>
        <v/>
      </c>
      <c r="AB29" s="171" t="str">
        <f t="shared" si="13"/>
        <v/>
      </c>
      <c r="AC29" s="41" t="str">
        <f t="shared" si="22"/>
        <v/>
      </c>
      <c r="AD29" s="35" t="str">
        <f t="shared" si="23"/>
        <v/>
      </c>
      <c r="AE29" s="42" t="str">
        <f t="shared" si="24"/>
        <v/>
      </c>
      <c r="AF29" s="147" t="str">
        <f t="shared" si="25"/>
        <v/>
      </c>
      <c r="AG29" s="35" t="str">
        <f t="shared" si="26"/>
        <v/>
      </c>
      <c r="AH29" s="118">
        <v>0</v>
      </c>
      <c r="AI29" s="125">
        <f>IF(C$6=0,0,SUMIF('Prepool 1'!$X$5:$X$38,X29,'Prepool 1'!$AH$5:$AH$38))</f>
        <v>0</v>
      </c>
    </row>
    <row r="30" spans="1:35" ht="15.65" hidden="1" x14ac:dyDescent="0.3">
      <c r="A30" s="36" t="str">
        <f>IF(INPUTS!A30=0,"none",INPUTS!A30)</f>
        <v>none</v>
      </c>
      <c r="B30" s="36" t="str">
        <f>IF(INPUTS!B30=0,"none",INPUTS!B30)</f>
        <v>none</v>
      </c>
      <c r="C30" s="110">
        <f>IF(B30="none",0,MATCH(B30,INPUTS!$B$6:$B$69,0))</f>
        <v>0</v>
      </c>
      <c r="D30" s="94" t="str">
        <f ca="1">IF($C30=0,"",OFFSET(INPUTS!D$5,$C30,0))</f>
        <v/>
      </c>
      <c r="E30" s="94" t="str">
        <f ca="1">IF($C30=0,"",OFFSET(INPUTS!E$5,$C30,0))</f>
        <v/>
      </c>
      <c r="F30" s="115" t="str">
        <f ca="1">IF($C30=0,"",OFFSET(INPUTS!F$5,$C30,0))</f>
        <v/>
      </c>
      <c r="G30" s="115" t="str">
        <f ca="1">IF($C30=0,"",OFFSET(INPUTS!G$5,$C30,0))</f>
        <v/>
      </c>
      <c r="H30" s="94" t="str">
        <f ca="1">IF($C30=0,"",OFFSET(INPUTS!H$5,$C30,0))</f>
        <v/>
      </c>
      <c r="I30" s="94" t="str">
        <f ca="1">IF($C30=0,"",OFFSET(INPUTS!I$5,$C30,0))</f>
        <v/>
      </c>
      <c r="J30" s="94" t="str">
        <f ca="1">IF($C30=0,"",OFFSET(INPUTS!J$5,$C30,0))</f>
        <v/>
      </c>
      <c r="K30" s="114" t="str">
        <f ca="1">IF($C30=0,"",OFFSET(INPUTS!K$5,$C30,0))</f>
        <v/>
      </c>
      <c r="L30" s="114" t="str">
        <f ca="1">IF($C30=0,"",OFFSET(INPUTS!L$5,$C30,0))</f>
        <v/>
      </c>
      <c r="M30" s="94" t="str">
        <f ca="1">IF($C30=0,"",OFFSET(INPUTS!M$5,$C30,0))</f>
        <v/>
      </c>
      <c r="N30" s="94" t="str">
        <f ca="1">IF($C30=0,"",OFFSET(INPUTS!N$5,$C30,0))</f>
        <v/>
      </c>
      <c r="O30" s="94" t="str">
        <f ca="1">IF($C30=0,"",OFFSET(INPUTS!O$5,$C30,0))</f>
        <v/>
      </c>
      <c r="P30" s="114" t="str">
        <f ca="1">IF($C30=0,"",OFFSET(INPUTS!P$5,$C30,0))</f>
        <v/>
      </c>
      <c r="Q30" s="141" t="str">
        <f ca="1">IF($C30=0,"",OFFSET(INPUTS!Q$5,$C30,0))</f>
        <v/>
      </c>
      <c r="R30" s="37" t="str">
        <f t="shared" si="9"/>
        <v/>
      </c>
      <c r="S30" s="38">
        <f t="shared" ca="1" si="16"/>
        <v>0</v>
      </c>
      <c r="T30" s="129" t="str">
        <f t="shared" si="17"/>
        <v>none</v>
      </c>
      <c r="U30" s="126" t="str">
        <f t="shared" ca="1" si="18"/>
        <v/>
      </c>
      <c r="V30" s="151" t="str">
        <f t="shared" ca="1" si="11"/>
        <v/>
      </c>
      <c r="W30" s="131" t="str">
        <f t="shared" ca="1" si="2"/>
        <v/>
      </c>
      <c r="X30" s="39" t="str">
        <f t="shared" si="3"/>
        <v>none</v>
      </c>
      <c r="Y30" s="35" t="str">
        <f t="shared" ca="1" si="19"/>
        <v/>
      </c>
      <c r="Z30" s="75" t="str">
        <f t="shared" si="20"/>
        <v/>
      </c>
      <c r="AA30" s="40" t="str">
        <f t="shared" si="21"/>
        <v/>
      </c>
      <c r="AB30" s="171" t="str">
        <f t="shared" si="13"/>
        <v/>
      </c>
      <c r="AC30" s="41" t="str">
        <f t="shared" si="22"/>
        <v/>
      </c>
      <c r="AD30" s="35" t="str">
        <f t="shared" si="23"/>
        <v/>
      </c>
      <c r="AE30" s="42" t="str">
        <f t="shared" si="24"/>
        <v/>
      </c>
      <c r="AF30" s="147" t="str">
        <f t="shared" si="25"/>
        <v/>
      </c>
      <c r="AG30" s="35" t="str">
        <f t="shared" si="26"/>
        <v/>
      </c>
      <c r="AH30" s="118">
        <v>0</v>
      </c>
      <c r="AI30" s="125">
        <f>IF(C$6=0,0,SUMIF('Prepool 1'!$X$5:$X$38,X30,'Prepool 1'!$AH$5:$AH$38))</f>
        <v>0</v>
      </c>
    </row>
    <row r="31" spans="1:35" ht="15.65" hidden="1" x14ac:dyDescent="0.3">
      <c r="A31" s="36" t="str">
        <f>IF(INPUTS!A31=0,"none",INPUTS!A31)</f>
        <v>none</v>
      </c>
      <c r="B31" s="36" t="str">
        <f>IF(INPUTS!B31=0,"none",INPUTS!B31)</f>
        <v>none</v>
      </c>
      <c r="C31" s="110">
        <f>IF(B31="none",0,MATCH(B31,INPUTS!$B$6:$B$69,0))</f>
        <v>0</v>
      </c>
      <c r="D31" s="94" t="str">
        <f ca="1">IF($C31=0,"",OFFSET(INPUTS!D$5,$C31,0))</f>
        <v/>
      </c>
      <c r="E31" s="94" t="str">
        <f ca="1">IF($C31=0,"",OFFSET(INPUTS!E$5,$C31,0))</f>
        <v/>
      </c>
      <c r="F31" s="115" t="str">
        <f ca="1">IF($C31=0,"",OFFSET(INPUTS!F$5,$C31,0))</f>
        <v/>
      </c>
      <c r="G31" s="115" t="str">
        <f ca="1">IF($C31=0,"",OFFSET(INPUTS!G$5,$C31,0))</f>
        <v/>
      </c>
      <c r="H31" s="94" t="str">
        <f ca="1">IF($C31=0,"",OFFSET(INPUTS!H$5,$C31,0))</f>
        <v/>
      </c>
      <c r="I31" s="94" t="str">
        <f ca="1">IF($C31=0,"",OFFSET(INPUTS!I$5,$C31,0))</f>
        <v/>
      </c>
      <c r="J31" s="94" t="str">
        <f ca="1">IF($C31=0,"",OFFSET(INPUTS!J$5,$C31,0))</f>
        <v/>
      </c>
      <c r="K31" s="114" t="str">
        <f ca="1">IF($C31=0,"",OFFSET(INPUTS!K$5,$C31,0))</f>
        <v/>
      </c>
      <c r="L31" s="114" t="str">
        <f ca="1">IF($C31=0,"",OFFSET(INPUTS!L$5,$C31,0))</f>
        <v/>
      </c>
      <c r="M31" s="94" t="str">
        <f ca="1">IF($C31=0,"",OFFSET(INPUTS!M$5,$C31,0))</f>
        <v/>
      </c>
      <c r="N31" s="94" t="str">
        <f ca="1">IF($C31=0,"",OFFSET(INPUTS!N$5,$C31,0))</f>
        <v/>
      </c>
      <c r="O31" s="94" t="str">
        <f ca="1">IF($C31=0,"",OFFSET(INPUTS!O$5,$C31,0))</f>
        <v/>
      </c>
      <c r="P31" s="114" t="str">
        <f ca="1">IF($C31=0,"",OFFSET(INPUTS!P$5,$C31,0))</f>
        <v/>
      </c>
      <c r="Q31" s="141" t="str">
        <f ca="1">IF($C31=0,"",OFFSET(INPUTS!Q$5,$C31,0))</f>
        <v/>
      </c>
      <c r="R31" s="37" t="str">
        <f t="shared" si="9"/>
        <v/>
      </c>
      <c r="S31" s="38">
        <f t="shared" ca="1" si="16"/>
        <v>0</v>
      </c>
      <c r="T31" s="129" t="str">
        <f t="shared" si="17"/>
        <v>none</v>
      </c>
      <c r="U31" s="126" t="str">
        <f t="shared" ca="1" si="18"/>
        <v/>
      </c>
      <c r="V31" s="151" t="str">
        <f t="shared" ca="1" si="11"/>
        <v/>
      </c>
      <c r="W31" s="131" t="str">
        <f t="shared" ca="1" si="2"/>
        <v/>
      </c>
      <c r="X31" s="39" t="str">
        <f t="shared" si="3"/>
        <v>none</v>
      </c>
      <c r="Y31" s="35" t="str">
        <f t="shared" ca="1" si="19"/>
        <v/>
      </c>
      <c r="Z31" s="75" t="str">
        <f t="shared" si="20"/>
        <v/>
      </c>
      <c r="AA31" s="40" t="str">
        <f t="shared" si="21"/>
        <v/>
      </c>
      <c r="AB31" s="171" t="str">
        <f t="shared" si="13"/>
        <v/>
      </c>
      <c r="AC31" s="41" t="str">
        <f t="shared" si="22"/>
        <v/>
      </c>
      <c r="AD31" s="35" t="str">
        <f t="shared" si="23"/>
        <v/>
      </c>
      <c r="AE31" s="42" t="str">
        <f t="shared" si="24"/>
        <v/>
      </c>
      <c r="AF31" s="147" t="str">
        <f t="shared" si="25"/>
        <v/>
      </c>
      <c r="AG31" s="35" t="str">
        <f t="shared" si="26"/>
        <v/>
      </c>
      <c r="AH31" s="118">
        <v>0</v>
      </c>
      <c r="AI31" s="125">
        <f>IF(C$6=0,0,SUMIF('Prepool 1'!$X$5:$X$38,X31,'Prepool 1'!$AH$5:$AH$38))</f>
        <v>0</v>
      </c>
    </row>
    <row r="32" spans="1:35" ht="15.65" hidden="1" x14ac:dyDescent="0.3">
      <c r="A32" s="36" t="str">
        <f>IF(INPUTS!A32=0,"none",INPUTS!A32)</f>
        <v>none</v>
      </c>
      <c r="B32" s="36" t="str">
        <f>IF(INPUTS!B32=0,"none",INPUTS!B32)</f>
        <v>none</v>
      </c>
      <c r="C32" s="110">
        <f>IF(B32="none",0,MATCH(B32,INPUTS!$B$6:$B$69,0))</f>
        <v>0</v>
      </c>
      <c r="D32" s="94" t="str">
        <f ca="1">IF($C32=0,"",OFFSET(INPUTS!D$5,$C32,0))</f>
        <v/>
      </c>
      <c r="E32" s="94" t="str">
        <f ca="1">IF($C32=0,"",OFFSET(INPUTS!E$5,$C32,0))</f>
        <v/>
      </c>
      <c r="F32" s="115" t="str">
        <f ca="1">IF($C32=0,"",OFFSET(INPUTS!F$5,$C32,0))</f>
        <v/>
      </c>
      <c r="G32" s="115" t="str">
        <f ca="1">IF($C32=0,"",OFFSET(INPUTS!G$5,$C32,0))</f>
        <v/>
      </c>
      <c r="H32" s="94" t="str">
        <f ca="1">IF($C32=0,"",OFFSET(INPUTS!H$5,$C32,0))</f>
        <v/>
      </c>
      <c r="I32" s="94" t="str">
        <f ca="1">IF($C32=0,"",OFFSET(INPUTS!I$5,$C32,0))</f>
        <v/>
      </c>
      <c r="J32" s="94" t="str">
        <f ca="1">IF($C32=0,"",OFFSET(INPUTS!J$5,$C32,0))</f>
        <v/>
      </c>
      <c r="K32" s="114" t="str">
        <f ca="1">IF($C32=0,"",OFFSET(INPUTS!K$5,$C32,0))</f>
        <v/>
      </c>
      <c r="L32" s="114" t="str">
        <f ca="1">IF($C32=0,"",OFFSET(INPUTS!L$5,$C32,0))</f>
        <v/>
      </c>
      <c r="M32" s="94" t="str">
        <f ca="1">IF($C32=0,"",OFFSET(INPUTS!M$5,$C32,0))</f>
        <v/>
      </c>
      <c r="N32" s="94" t="str">
        <f ca="1">IF($C32=0,"",OFFSET(INPUTS!N$5,$C32,0))</f>
        <v/>
      </c>
      <c r="O32" s="94" t="str">
        <f ca="1">IF($C32=0,"",OFFSET(INPUTS!O$5,$C32,0))</f>
        <v/>
      </c>
      <c r="P32" s="114" t="str">
        <f ca="1">IF($C32=0,"",OFFSET(INPUTS!P$5,$C32,0))</f>
        <v/>
      </c>
      <c r="Q32" s="141" t="str">
        <f ca="1">IF($C32=0,"",OFFSET(INPUTS!Q$5,$C32,0))</f>
        <v/>
      </c>
      <c r="R32" s="37" t="str">
        <f t="shared" si="9"/>
        <v/>
      </c>
      <c r="S32" s="38">
        <f t="shared" ca="1" si="16"/>
        <v>0</v>
      </c>
      <c r="T32" s="129" t="str">
        <f t="shared" si="17"/>
        <v>none</v>
      </c>
      <c r="U32" s="126" t="str">
        <f t="shared" ca="1" si="18"/>
        <v/>
      </c>
      <c r="V32" s="151" t="str">
        <f t="shared" ca="1" si="11"/>
        <v/>
      </c>
      <c r="W32" s="131" t="str">
        <f t="shared" ca="1" si="2"/>
        <v/>
      </c>
      <c r="X32" s="39" t="str">
        <f t="shared" si="3"/>
        <v>none</v>
      </c>
      <c r="Y32" s="35" t="str">
        <f t="shared" ca="1" si="19"/>
        <v/>
      </c>
      <c r="Z32" s="75" t="str">
        <f t="shared" si="20"/>
        <v/>
      </c>
      <c r="AA32" s="40" t="str">
        <f t="shared" si="21"/>
        <v/>
      </c>
      <c r="AB32" s="171" t="str">
        <f t="shared" si="13"/>
        <v/>
      </c>
      <c r="AC32" s="41" t="str">
        <f t="shared" si="22"/>
        <v/>
      </c>
      <c r="AD32" s="35" t="str">
        <f t="shared" si="23"/>
        <v/>
      </c>
      <c r="AE32" s="42" t="str">
        <f t="shared" si="24"/>
        <v/>
      </c>
      <c r="AF32" s="147" t="str">
        <f t="shared" si="25"/>
        <v/>
      </c>
      <c r="AG32" s="35" t="str">
        <f t="shared" si="26"/>
        <v/>
      </c>
      <c r="AH32" s="118">
        <v>0</v>
      </c>
      <c r="AI32" s="125">
        <f>IF(C$6=0,0,SUMIF('Prepool 1'!$X$5:$X$38,X32,'Prepool 1'!$AH$5:$AH$38))</f>
        <v>0</v>
      </c>
    </row>
    <row r="33" spans="1:35" ht="15.65" hidden="1" x14ac:dyDescent="0.3">
      <c r="A33" s="36" t="str">
        <f>IF(INPUTS!A33=0,"none",INPUTS!A33)</f>
        <v>none</v>
      </c>
      <c r="B33" s="36" t="str">
        <f>IF(INPUTS!B33=0,"none",INPUTS!B33)</f>
        <v>none</v>
      </c>
      <c r="C33" s="110">
        <f>IF(B33="none",0,MATCH(B33,INPUTS!$B$6:$B$69,0))</f>
        <v>0</v>
      </c>
      <c r="D33" s="94" t="str">
        <f ca="1">IF($C33=0,"",OFFSET(INPUTS!D$5,$C33,0))</f>
        <v/>
      </c>
      <c r="E33" s="94" t="str">
        <f ca="1">IF($C33=0,"",OFFSET(INPUTS!E$5,$C33,0))</f>
        <v/>
      </c>
      <c r="F33" s="115" t="str">
        <f ca="1">IF($C33=0,"",OFFSET(INPUTS!F$5,$C33,0))</f>
        <v/>
      </c>
      <c r="G33" s="115" t="str">
        <f ca="1">IF($C33=0,"",OFFSET(INPUTS!G$5,$C33,0))</f>
        <v/>
      </c>
      <c r="H33" s="94" t="str">
        <f ca="1">IF($C33=0,"",OFFSET(INPUTS!H$5,$C33,0))</f>
        <v/>
      </c>
      <c r="I33" s="94" t="str">
        <f ca="1">IF($C33=0,"",OFFSET(INPUTS!I$5,$C33,0))</f>
        <v/>
      </c>
      <c r="J33" s="94" t="str">
        <f ca="1">IF($C33=0,"",OFFSET(INPUTS!J$5,$C33,0))</f>
        <v/>
      </c>
      <c r="K33" s="114" t="str">
        <f ca="1">IF($C33=0,"",OFFSET(INPUTS!K$5,$C33,0))</f>
        <v/>
      </c>
      <c r="L33" s="114" t="str">
        <f ca="1">IF($C33=0,"",OFFSET(INPUTS!L$5,$C33,0))</f>
        <v/>
      </c>
      <c r="M33" s="94" t="str">
        <f ca="1">IF($C33=0,"",OFFSET(INPUTS!M$5,$C33,0))</f>
        <v/>
      </c>
      <c r="N33" s="94" t="str">
        <f ca="1">IF($C33=0,"",OFFSET(INPUTS!N$5,$C33,0))</f>
        <v/>
      </c>
      <c r="O33" s="94" t="str">
        <f ca="1">IF($C33=0,"",OFFSET(INPUTS!O$5,$C33,0))</f>
        <v/>
      </c>
      <c r="P33" s="114" t="str">
        <f ca="1">IF($C33=0,"",OFFSET(INPUTS!P$5,$C33,0))</f>
        <v/>
      </c>
      <c r="Q33" s="141" t="str">
        <f ca="1">IF($C33=0,"",OFFSET(INPUTS!Q$5,$C33,0))</f>
        <v/>
      </c>
      <c r="R33" s="37" t="str">
        <f t="shared" si="9"/>
        <v/>
      </c>
      <c r="S33" s="38">
        <f t="shared" ca="1" si="16"/>
        <v>0</v>
      </c>
      <c r="T33" s="129" t="str">
        <f t="shared" si="17"/>
        <v>none</v>
      </c>
      <c r="U33" s="126" t="str">
        <f t="shared" ca="1" si="18"/>
        <v/>
      </c>
      <c r="V33" s="151" t="str">
        <f t="shared" ca="1" si="11"/>
        <v/>
      </c>
      <c r="W33" s="131" t="str">
        <f t="shared" ca="1" si="2"/>
        <v/>
      </c>
      <c r="X33" s="39" t="str">
        <f t="shared" si="3"/>
        <v>none</v>
      </c>
      <c r="Y33" s="35" t="str">
        <f t="shared" ca="1" si="19"/>
        <v/>
      </c>
      <c r="Z33" s="75" t="str">
        <f t="shared" si="20"/>
        <v/>
      </c>
      <c r="AA33" s="40" t="str">
        <f t="shared" si="21"/>
        <v/>
      </c>
      <c r="AB33" s="171" t="str">
        <f t="shared" si="13"/>
        <v/>
      </c>
      <c r="AC33" s="41" t="str">
        <f t="shared" si="22"/>
        <v/>
      </c>
      <c r="AD33" s="35" t="str">
        <f t="shared" si="23"/>
        <v/>
      </c>
      <c r="AE33" s="42" t="str">
        <f t="shared" si="24"/>
        <v/>
      </c>
      <c r="AF33" s="147" t="str">
        <f t="shared" si="25"/>
        <v/>
      </c>
      <c r="AG33" s="35" t="str">
        <f t="shared" si="26"/>
        <v/>
      </c>
      <c r="AH33" s="118">
        <v>0</v>
      </c>
      <c r="AI33" s="125">
        <f>IF(C$6=0,0,SUMIF('Prepool 1'!$X$5:$X$38,X33,'Prepool 1'!$AH$5:$AH$38))</f>
        <v>0</v>
      </c>
    </row>
    <row r="34" spans="1:35" ht="15.65" hidden="1" x14ac:dyDescent="0.3">
      <c r="A34" s="36" t="str">
        <f>IF(INPUTS!A34=0,"none",INPUTS!A34)</f>
        <v>none</v>
      </c>
      <c r="B34" s="36" t="str">
        <f>IF(INPUTS!B34=0,"none",INPUTS!B34)</f>
        <v>none</v>
      </c>
      <c r="C34" s="110">
        <f>IF(B34="none",0,MATCH(B34,INPUTS!$B$6:$B$69,0))</f>
        <v>0</v>
      </c>
      <c r="D34" s="94" t="str">
        <f ca="1">IF($C34=0,"",OFFSET(INPUTS!D$5,$C34,0))</f>
        <v/>
      </c>
      <c r="E34" s="94" t="str">
        <f ca="1">IF($C34=0,"",OFFSET(INPUTS!E$5,$C34,0))</f>
        <v/>
      </c>
      <c r="F34" s="115" t="str">
        <f ca="1">IF($C34=0,"",OFFSET(INPUTS!F$5,$C34,0))</f>
        <v/>
      </c>
      <c r="G34" s="115" t="str">
        <f ca="1">IF($C34=0,"",OFFSET(INPUTS!G$5,$C34,0))</f>
        <v/>
      </c>
      <c r="H34" s="94" t="str">
        <f ca="1">IF($C34=0,"",OFFSET(INPUTS!H$5,$C34,0))</f>
        <v/>
      </c>
      <c r="I34" s="94" t="str">
        <f ca="1">IF($C34=0,"",OFFSET(INPUTS!I$5,$C34,0))</f>
        <v/>
      </c>
      <c r="J34" s="94" t="str">
        <f ca="1">IF($C34=0,"",OFFSET(INPUTS!J$5,$C34,0))</f>
        <v/>
      </c>
      <c r="K34" s="114" t="str">
        <f ca="1">IF($C34=0,"",OFFSET(INPUTS!K$5,$C34,0))</f>
        <v/>
      </c>
      <c r="L34" s="114" t="str">
        <f ca="1">IF($C34=0,"",OFFSET(INPUTS!L$5,$C34,0))</f>
        <v/>
      </c>
      <c r="M34" s="94" t="str">
        <f ca="1">IF($C34=0,"",OFFSET(INPUTS!M$5,$C34,0))</f>
        <v/>
      </c>
      <c r="N34" s="94" t="str">
        <f ca="1">IF($C34=0,"",OFFSET(INPUTS!N$5,$C34,0))</f>
        <v/>
      </c>
      <c r="O34" s="94" t="str">
        <f ca="1">IF($C34=0,"",OFFSET(INPUTS!O$5,$C34,0))</f>
        <v/>
      </c>
      <c r="P34" s="114" t="str">
        <f ca="1">IF($C34=0,"",OFFSET(INPUTS!P$5,$C34,0))</f>
        <v/>
      </c>
      <c r="Q34" s="141" t="str">
        <f ca="1">IF($C34=0,"",OFFSET(INPUTS!Q$5,$C34,0))</f>
        <v/>
      </c>
      <c r="R34" s="37" t="str">
        <f t="shared" si="9"/>
        <v/>
      </c>
      <c r="S34" s="38">
        <f t="shared" ca="1" si="16"/>
        <v>0</v>
      </c>
      <c r="T34" s="129" t="str">
        <f t="shared" si="17"/>
        <v>none</v>
      </c>
      <c r="U34" s="126" t="str">
        <f t="shared" ca="1" si="18"/>
        <v/>
      </c>
      <c r="V34" s="151" t="str">
        <f t="shared" ca="1" si="11"/>
        <v/>
      </c>
      <c r="W34" s="131" t="str">
        <f t="shared" ca="1" si="2"/>
        <v/>
      </c>
      <c r="X34" s="39" t="str">
        <f t="shared" si="3"/>
        <v>none</v>
      </c>
      <c r="Y34" s="35" t="str">
        <f t="shared" ca="1" si="19"/>
        <v/>
      </c>
      <c r="Z34" s="75" t="str">
        <f t="shared" si="20"/>
        <v/>
      </c>
      <c r="AA34" s="40" t="str">
        <f t="shared" si="21"/>
        <v/>
      </c>
      <c r="AB34" s="171" t="str">
        <f t="shared" si="13"/>
        <v/>
      </c>
      <c r="AC34" s="41" t="str">
        <f t="shared" si="22"/>
        <v/>
      </c>
      <c r="AD34" s="35" t="str">
        <f t="shared" si="23"/>
        <v/>
      </c>
      <c r="AE34" s="42" t="str">
        <f t="shared" si="24"/>
        <v/>
      </c>
      <c r="AF34" s="147" t="str">
        <f t="shared" si="25"/>
        <v/>
      </c>
      <c r="AG34" s="35" t="str">
        <f t="shared" si="26"/>
        <v/>
      </c>
      <c r="AH34" s="118">
        <v>0</v>
      </c>
      <c r="AI34" s="125">
        <f>IF(C$6=0,0,SUMIF('Prepool 1'!$X$5:$X$38,X34,'Prepool 1'!$AH$5:$AH$38))</f>
        <v>0</v>
      </c>
    </row>
    <row r="35" spans="1:35" ht="15.65" hidden="1" x14ac:dyDescent="0.3">
      <c r="A35" s="198" t="str">
        <f>IF(INPUTS!A35=0,"none",INPUTS!A35)</f>
        <v>none</v>
      </c>
      <c r="B35" s="198" t="str">
        <f>IF(INPUTS!B35=0,"none",INPUTS!B35)</f>
        <v>none</v>
      </c>
      <c r="C35" s="199">
        <f>IF(B35="none",0,MATCH(B35,INPUTS!$B$6:$B$69,0))</f>
        <v>0</v>
      </c>
      <c r="D35" s="200" t="str">
        <f ca="1">IF($C35=0,"",OFFSET(INPUTS!D$5,$C35,0))</f>
        <v/>
      </c>
      <c r="E35" s="200" t="str">
        <f ca="1">IF($C35=0,"",OFFSET(INPUTS!E$5,$C35,0))</f>
        <v/>
      </c>
      <c r="F35" s="201" t="str">
        <f ca="1">IF($C35=0,"",OFFSET(INPUTS!F$5,$C35,0))</f>
        <v/>
      </c>
      <c r="G35" s="201" t="str">
        <f ca="1">IF($C35=0,"",OFFSET(INPUTS!G$5,$C35,0))</f>
        <v/>
      </c>
      <c r="H35" s="200" t="str">
        <f ca="1">IF($C35=0,"",OFFSET(INPUTS!H$5,$C35,0))</f>
        <v/>
      </c>
      <c r="I35" s="94" t="str">
        <f ca="1">IF($C35=0,"",OFFSET(INPUTS!I$5,$C35,0))</f>
        <v/>
      </c>
      <c r="J35" s="94" t="str">
        <f ca="1">IF($C35=0,"",OFFSET(INPUTS!J$5,$C35,0))</f>
        <v/>
      </c>
      <c r="K35" s="114" t="str">
        <f ca="1">IF($C35=0,"",OFFSET(INPUTS!K$5,$C35,0))</f>
        <v/>
      </c>
      <c r="L35" s="114" t="str">
        <f ca="1">IF($C35=0,"",OFFSET(INPUTS!L$5,$C35,0))</f>
        <v/>
      </c>
      <c r="M35" s="94" t="str">
        <f ca="1">IF($C35=0,"",OFFSET(INPUTS!M$5,$C35,0))</f>
        <v/>
      </c>
      <c r="N35" s="94" t="str">
        <f ca="1">IF($C35=0,"",OFFSET(INPUTS!N$5,$C35,0))</f>
        <v/>
      </c>
      <c r="O35" s="94" t="str">
        <f ca="1">IF($C35=0,"",OFFSET(INPUTS!O$5,$C35,0))</f>
        <v/>
      </c>
      <c r="P35" s="114" t="str">
        <f ca="1">IF($C35=0,"",OFFSET(INPUTS!P$5,$C35,0))</f>
        <v/>
      </c>
      <c r="Q35" s="141" t="str">
        <f ca="1">IF($C35=0,"",OFFSET(INPUTS!Q$5,$C35,0))</f>
        <v/>
      </c>
      <c r="R35" s="37" t="str">
        <f t="shared" si="9"/>
        <v/>
      </c>
      <c r="S35" s="38">
        <f t="shared" ref="S35:S38" ca="1" si="27">SUM(J35,R35)</f>
        <v>0</v>
      </c>
      <c r="T35" s="202" t="str">
        <f t="shared" ref="T35:T38" si="28">IF(A35=0,"",A35)</f>
        <v>none</v>
      </c>
      <c r="U35" s="126" t="str">
        <f t="shared" ref="U35:U38" ca="1" si="29">IF(M35=0,"",M35)</f>
        <v/>
      </c>
      <c r="V35" s="151" t="str">
        <f t="shared" ref="V35:V38" ca="1" si="30">IF(F35=0,"",F35&amp;IF(OR(G35="",G35=0),"","+"&amp;G35))</f>
        <v/>
      </c>
      <c r="W35" s="131" t="str">
        <f t="shared" ref="W35:W38" ca="1" si="31">IF(ISNUMBER(V35),COUNTIF($V$6:$V$38,V35),"")</f>
        <v/>
      </c>
      <c r="X35" s="39" t="str">
        <f t="shared" si="3"/>
        <v>none</v>
      </c>
      <c r="Y35" s="35" t="str">
        <f t="shared" ref="Y35:Y38" ca="1" si="32">IF(N35=0,"",N35)</f>
        <v/>
      </c>
      <c r="Z35" s="75" t="str">
        <f t="shared" ref="Z35:Z38" si="33">IF($AH35=0,"",IF($R35="","",IF(AF35&lt;0.2,10,IF(AF35&lt;0.795,5,""))))</f>
        <v/>
      </c>
      <c r="AA35" s="203" t="str">
        <f t="shared" ref="AA35:AA38" si="34">IF($AH35=0,"",IF($R35="","",AF35*IF($Z35="",1,$Z35)))</f>
        <v/>
      </c>
      <c r="AB35" s="171" t="str">
        <f t="shared" ref="AB35:AB38" si="35">IF(ISNUMBER(AA35),RANK(AA35,$AA$6:$AA$38,0),"")</f>
        <v/>
      </c>
      <c r="AC35" s="41" t="str">
        <f t="shared" ref="AC35:AC38" si="36">IF($AH35=0,"",IF($R35="","",R35*$AA35/IF($Z35="",1,$Z35)))</f>
        <v/>
      </c>
      <c r="AD35" s="35" t="str">
        <f t="shared" ref="AD35:AD38" si="37">IF($AH35=0,"",IF($R35="","",S35*$AA35/IF($Z35="",1,$Z35)))</f>
        <v/>
      </c>
      <c r="AE35" s="42" t="str">
        <f t="shared" ref="AE35:AE38" si="38">IF($AH35=0,"",IF($R35="","",D35*$AA35/IF($Z35="",1,$Z35)))</f>
        <v/>
      </c>
      <c r="AF35" s="147" t="str">
        <f t="shared" ref="AF35:AF38" si="39">IF(R35="","",$AA$4/R35*Q35)</f>
        <v/>
      </c>
      <c r="AG35" s="35" t="str">
        <f t="shared" ref="AG35:AG38" si="40">IF($AH35=0,"",Q35)</f>
        <v/>
      </c>
      <c r="AH35" s="118">
        <v>0</v>
      </c>
      <c r="AI35" s="125">
        <f>IF(C$6=0,0,SUMIF('Prepool 1'!$X$5:$X$38,X35,'Prepool 1'!$AH$5:$AH$38))</f>
        <v>0</v>
      </c>
    </row>
    <row r="36" spans="1:35" ht="15.65" hidden="1" x14ac:dyDescent="0.3">
      <c r="A36" s="198" t="str">
        <f>IF(INPUTS!A36=0,"none",INPUTS!A36)</f>
        <v>none</v>
      </c>
      <c r="B36" s="198" t="str">
        <f>IF(INPUTS!B36=0,"none",INPUTS!B36)</f>
        <v>none</v>
      </c>
      <c r="C36" s="199">
        <f>IF(B36="none",0,MATCH(B36,INPUTS!$B$6:$B$69,0))</f>
        <v>0</v>
      </c>
      <c r="D36" s="200" t="str">
        <f ca="1">IF($C36=0,"",OFFSET(INPUTS!D$5,$C36,0))</f>
        <v/>
      </c>
      <c r="E36" s="200" t="str">
        <f ca="1">IF($C36=0,"",OFFSET(INPUTS!E$5,$C36,0))</f>
        <v/>
      </c>
      <c r="F36" s="201" t="str">
        <f ca="1">IF($C36=0,"",OFFSET(INPUTS!F$5,$C36,0))</f>
        <v/>
      </c>
      <c r="G36" s="201" t="str">
        <f ca="1">IF($C36=0,"",OFFSET(INPUTS!G$5,$C36,0))</f>
        <v/>
      </c>
      <c r="H36" s="200" t="str">
        <f ca="1">IF($C36=0,"",OFFSET(INPUTS!H$5,$C36,0))</f>
        <v/>
      </c>
      <c r="I36" s="94" t="str">
        <f ca="1">IF($C36=0,"",OFFSET(INPUTS!I$5,$C36,0))</f>
        <v/>
      </c>
      <c r="J36" s="94" t="str">
        <f ca="1">IF($C36=0,"",OFFSET(INPUTS!J$5,$C36,0))</f>
        <v/>
      </c>
      <c r="K36" s="114" t="str">
        <f ca="1">IF($C36=0,"",OFFSET(INPUTS!K$5,$C36,0))</f>
        <v/>
      </c>
      <c r="L36" s="114" t="str">
        <f ca="1">IF($C36=0,"",OFFSET(INPUTS!L$5,$C36,0))</f>
        <v/>
      </c>
      <c r="M36" s="94" t="str">
        <f ca="1">IF($C36=0,"",OFFSET(INPUTS!M$5,$C36,0))</f>
        <v/>
      </c>
      <c r="N36" s="94" t="str">
        <f ca="1">IF($C36=0,"",OFFSET(INPUTS!N$5,$C36,0))</f>
        <v/>
      </c>
      <c r="O36" s="94" t="str">
        <f ca="1">IF($C36=0,"",OFFSET(INPUTS!O$5,$C36,0))</f>
        <v/>
      </c>
      <c r="P36" s="114" t="str">
        <f ca="1">IF($C36=0,"",OFFSET(INPUTS!P$5,$C36,0))</f>
        <v/>
      </c>
      <c r="Q36" s="141" t="str">
        <f ca="1">IF($C36=0,"",OFFSET(INPUTS!Q$5,$C36,0))</f>
        <v/>
      </c>
      <c r="R36" s="37" t="str">
        <f t="shared" si="9"/>
        <v/>
      </c>
      <c r="S36" s="38">
        <f t="shared" ca="1" si="27"/>
        <v>0</v>
      </c>
      <c r="T36" s="202" t="str">
        <f t="shared" si="28"/>
        <v>none</v>
      </c>
      <c r="U36" s="126" t="str">
        <f t="shared" ca="1" si="29"/>
        <v/>
      </c>
      <c r="V36" s="151" t="str">
        <f t="shared" ca="1" si="30"/>
        <v/>
      </c>
      <c r="W36" s="131" t="str">
        <f t="shared" ca="1" si="31"/>
        <v/>
      </c>
      <c r="X36" s="39" t="str">
        <f t="shared" si="3"/>
        <v>none</v>
      </c>
      <c r="Y36" s="35" t="str">
        <f t="shared" ca="1" si="32"/>
        <v/>
      </c>
      <c r="Z36" s="75" t="str">
        <f t="shared" si="33"/>
        <v/>
      </c>
      <c r="AA36" s="203" t="str">
        <f t="shared" si="34"/>
        <v/>
      </c>
      <c r="AB36" s="171" t="str">
        <f t="shared" si="35"/>
        <v/>
      </c>
      <c r="AC36" s="41" t="str">
        <f t="shared" si="36"/>
        <v/>
      </c>
      <c r="AD36" s="35" t="str">
        <f t="shared" si="37"/>
        <v/>
      </c>
      <c r="AE36" s="42" t="str">
        <f t="shared" si="38"/>
        <v/>
      </c>
      <c r="AF36" s="147" t="str">
        <f t="shared" si="39"/>
        <v/>
      </c>
      <c r="AG36" s="35" t="str">
        <f t="shared" si="40"/>
        <v/>
      </c>
      <c r="AH36" s="118">
        <v>0</v>
      </c>
      <c r="AI36" s="125">
        <f>IF(C$6=0,0,SUMIF('Prepool 1'!$X$5:$X$38,X36,'Prepool 1'!$AH$5:$AH$38))</f>
        <v>0</v>
      </c>
    </row>
    <row r="37" spans="1:35" ht="15.65" hidden="1" x14ac:dyDescent="0.3">
      <c r="A37" s="198" t="str">
        <f>IF(INPUTS!A37=0,"none",INPUTS!A37)</f>
        <v>none</v>
      </c>
      <c r="B37" s="198" t="str">
        <f>IF(INPUTS!B37=0,"none",INPUTS!B37)</f>
        <v>none</v>
      </c>
      <c r="C37" s="199">
        <f>IF(B37="none",0,MATCH(B37,INPUTS!$B$6:$B$69,0))</f>
        <v>0</v>
      </c>
      <c r="D37" s="200" t="str">
        <f ca="1">IF($C37=0,"",OFFSET(INPUTS!D$5,$C37,0))</f>
        <v/>
      </c>
      <c r="E37" s="200" t="str">
        <f ca="1">IF($C37=0,"",OFFSET(INPUTS!E$5,$C37,0))</f>
        <v/>
      </c>
      <c r="F37" s="201" t="str">
        <f ca="1">IF($C37=0,"",OFFSET(INPUTS!F$5,$C37,0))</f>
        <v/>
      </c>
      <c r="G37" s="201" t="str">
        <f ca="1">IF($C37=0,"",OFFSET(INPUTS!G$5,$C37,0))</f>
        <v/>
      </c>
      <c r="H37" s="200" t="str">
        <f ca="1">IF($C37=0,"",OFFSET(INPUTS!H$5,$C37,0))</f>
        <v/>
      </c>
      <c r="I37" s="94" t="str">
        <f ca="1">IF($C37=0,"",OFFSET(INPUTS!I$5,$C37,0))</f>
        <v/>
      </c>
      <c r="J37" s="94" t="str">
        <f ca="1">IF($C37=0,"",OFFSET(INPUTS!J$5,$C37,0))</f>
        <v/>
      </c>
      <c r="K37" s="114" t="str">
        <f ca="1">IF($C37=0,"",OFFSET(INPUTS!K$5,$C37,0))</f>
        <v/>
      </c>
      <c r="L37" s="114" t="str">
        <f ca="1">IF($C37=0,"",OFFSET(INPUTS!L$5,$C37,0))</f>
        <v/>
      </c>
      <c r="M37" s="94" t="str">
        <f ca="1">IF($C37=0,"",OFFSET(INPUTS!M$5,$C37,0))</f>
        <v/>
      </c>
      <c r="N37" s="94" t="str">
        <f ca="1">IF($C37=0,"",OFFSET(INPUTS!N$5,$C37,0))</f>
        <v/>
      </c>
      <c r="O37" s="94" t="str">
        <f ca="1">IF($C37=0,"",OFFSET(INPUTS!O$5,$C37,0))</f>
        <v/>
      </c>
      <c r="P37" s="114" t="str">
        <f ca="1">IF($C37=0,"",OFFSET(INPUTS!P$5,$C37,0))</f>
        <v/>
      </c>
      <c r="Q37" s="141" t="str">
        <f ca="1">IF($C37=0,"",OFFSET(INPUTS!Q$5,$C37,0))</f>
        <v/>
      </c>
      <c r="R37" s="37" t="str">
        <f t="shared" si="9"/>
        <v/>
      </c>
      <c r="S37" s="38">
        <f t="shared" ca="1" si="27"/>
        <v>0</v>
      </c>
      <c r="T37" s="202" t="str">
        <f t="shared" si="28"/>
        <v>none</v>
      </c>
      <c r="U37" s="126" t="str">
        <f t="shared" ca="1" si="29"/>
        <v/>
      </c>
      <c r="V37" s="151" t="str">
        <f t="shared" ca="1" si="30"/>
        <v/>
      </c>
      <c r="W37" s="131" t="str">
        <f t="shared" ca="1" si="31"/>
        <v/>
      </c>
      <c r="X37" s="39" t="str">
        <f t="shared" si="3"/>
        <v>none</v>
      </c>
      <c r="Y37" s="35" t="str">
        <f t="shared" ca="1" si="32"/>
        <v/>
      </c>
      <c r="Z37" s="75" t="str">
        <f t="shared" si="33"/>
        <v/>
      </c>
      <c r="AA37" s="203" t="str">
        <f t="shared" si="34"/>
        <v/>
      </c>
      <c r="AB37" s="171" t="str">
        <f t="shared" si="35"/>
        <v/>
      </c>
      <c r="AC37" s="41" t="str">
        <f t="shared" si="36"/>
        <v/>
      </c>
      <c r="AD37" s="35" t="str">
        <f t="shared" si="37"/>
        <v/>
      </c>
      <c r="AE37" s="42" t="str">
        <f t="shared" si="38"/>
        <v/>
      </c>
      <c r="AF37" s="147" t="str">
        <f t="shared" si="39"/>
        <v/>
      </c>
      <c r="AG37" s="35" t="str">
        <f t="shared" si="40"/>
        <v/>
      </c>
      <c r="AH37" s="118">
        <v>0</v>
      </c>
      <c r="AI37" s="125">
        <f>IF(C$6=0,0,SUMIF('Prepool 1'!$X$5:$X$38,X37,'Prepool 1'!$AH$5:$AH$38))</f>
        <v>0</v>
      </c>
    </row>
    <row r="38" spans="1:35" ht="16.3" hidden="1" thickBot="1" x14ac:dyDescent="0.35">
      <c r="A38" s="162" t="str">
        <f>IF(INPUTS!A38=0,"none",INPUTS!A38)</f>
        <v>none</v>
      </c>
      <c r="B38" s="162" t="str">
        <f>IF(INPUTS!B38=0,"none",INPUTS!B38)</f>
        <v>none</v>
      </c>
      <c r="C38" s="163">
        <f>IF(B38="none",0,MATCH(B38,INPUTS!$B$6:$B$69,0))</f>
        <v>0</v>
      </c>
      <c r="D38" s="164" t="str">
        <f ca="1">IF($C38=0,"",OFFSET(INPUTS!D$5,$C38,0))</f>
        <v/>
      </c>
      <c r="E38" s="164" t="str">
        <f ca="1">IF($C38=0,"",OFFSET(INPUTS!E$5,$C38,0))</f>
        <v/>
      </c>
      <c r="F38" s="165" t="str">
        <f ca="1">IF($C38=0,"",OFFSET(INPUTS!F$5,$C38,0))</f>
        <v/>
      </c>
      <c r="G38" s="165" t="str">
        <f ca="1">IF($C38=0,"",OFFSET(INPUTS!G$5,$C38,0))</f>
        <v/>
      </c>
      <c r="H38" s="164" t="str">
        <f ca="1">IF($C38=0,"",OFFSET(INPUTS!H$5,$C38,0))</f>
        <v/>
      </c>
      <c r="I38" s="94" t="str">
        <f ca="1">IF($C38=0,"",OFFSET(INPUTS!I$5,$C38,0))</f>
        <v/>
      </c>
      <c r="J38" s="94" t="str">
        <f ca="1">IF($C38=0,"",OFFSET(INPUTS!J$5,$C38,0))</f>
        <v/>
      </c>
      <c r="K38" s="114" t="str">
        <f ca="1">IF($C38=0,"",OFFSET(INPUTS!K$5,$C38,0))</f>
        <v/>
      </c>
      <c r="L38" s="114" t="str">
        <f ca="1">IF($C38=0,"",OFFSET(INPUTS!L$5,$C38,0))</f>
        <v/>
      </c>
      <c r="M38" s="94" t="str">
        <f ca="1">IF($C38=0,"",OFFSET(INPUTS!M$5,$C38,0))</f>
        <v/>
      </c>
      <c r="N38" s="94" t="str">
        <f ca="1">IF($C38=0,"",OFFSET(INPUTS!N$5,$C38,0))</f>
        <v/>
      </c>
      <c r="O38" s="94" t="str">
        <f ca="1">IF($C38=0,"",OFFSET(INPUTS!O$5,$C38,0))</f>
        <v/>
      </c>
      <c r="P38" s="114" t="str">
        <f ca="1">IF($C38=0,"",OFFSET(INPUTS!P$5,$C38,0))</f>
        <v/>
      </c>
      <c r="Q38" s="141" t="str">
        <f ca="1">IF($C38=0,"",OFFSET(INPUTS!Q$5,$C38,0))</f>
        <v/>
      </c>
      <c r="R38" s="37" t="str">
        <f t="shared" si="9"/>
        <v/>
      </c>
      <c r="S38" s="38">
        <f t="shared" ca="1" si="27"/>
        <v>0</v>
      </c>
      <c r="T38" s="170" t="str">
        <f t="shared" si="28"/>
        <v>none</v>
      </c>
      <c r="U38" s="126" t="str">
        <f t="shared" ca="1" si="29"/>
        <v/>
      </c>
      <c r="V38" s="151" t="str">
        <f t="shared" ca="1" si="30"/>
        <v/>
      </c>
      <c r="W38" s="131" t="str">
        <f t="shared" ca="1" si="31"/>
        <v/>
      </c>
      <c r="X38" s="39" t="str">
        <f t="shared" si="3"/>
        <v>none</v>
      </c>
      <c r="Y38" s="35" t="str">
        <f t="shared" ca="1" si="32"/>
        <v/>
      </c>
      <c r="Z38" s="75" t="str">
        <f t="shared" si="33"/>
        <v/>
      </c>
      <c r="AA38" s="158" t="str">
        <f t="shared" si="34"/>
        <v/>
      </c>
      <c r="AB38" s="171" t="str">
        <f t="shared" si="35"/>
        <v/>
      </c>
      <c r="AC38" s="41" t="str">
        <f t="shared" si="36"/>
        <v/>
      </c>
      <c r="AD38" s="35" t="str">
        <f t="shared" si="37"/>
        <v/>
      </c>
      <c r="AE38" s="42" t="str">
        <f t="shared" si="38"/>
        <v/>
      </c>
      <c r="AF38" s="147" t="str">
        <f t="shared" si="39"/>
        <v/>
      </c>
      <c r="AG38" s="35" t="str">
        <f t="shared" si="40"/>
        <v/>
      </c>
      <c r="AH38" s="118">
        <v>0</v>
      </c>
      <c r="AI38" s="125">
        <f>IF(C$6=0,0,SUMIF('Prepool 1'!$X$5:$X$38,X38,'Prepool 1'!$AH$5:$AH$38))</f>
        <v>0</v>
      </c>
    </row>
    <row r="39" spans="1:35" x14ac:dyDescent="0.3">
      <c r="I39" s="49"/>
      <c r="J39" s="49"/>
      <c r="K39" s="49"/>
      <c r="L39" s="49"/>
      <c r="M39" s="49"/>
      <c r="N39" s="49"/>
      <c r="O39" s="49"/>
      <c r="P39" s="49"/>
      <c r="Q39" s="142"/>
      <c r="R39" s="49"/>
      <c r="S39" s="49"/>
      <c r="T39" s="49"/>
      <c r="U39" s="49"/>
      <c r="V39" s="49"/>
      <c r="W39" s="49"/>
      <c r="X39" s="49"/>
      <c r="Y39" s="49"/>
      <c r="Z39" s="76"/>
      <c r="AA39" s="5">
        <f ca="1">SUM(AA6:AA38)</f>
        <v>22.484791485293371</v>
      </c>
      <c r="AB39" s="68"/>
      <c r="AC39" s="69">
        <f ca="1">SUM(AC6:AC38)</f>
        <v>208</v>
      </c>
      <c r="AD39" s="68">
        <f ca="1">SUM(AD6:AD38)</f>
        <v>208</v>
      </c>
      <c r="AE39" s="68">
        <f ca="1">SUM(AE6:AE38)</f>
        <v>27.178800000000003</v>
      </c>
      <c r="AF39" s="69"/>
      <c r="AG39" s="69"/>
      <c r="AH39" s="119"/>
      <c r="AI39" s="68"/>
    </row>
    <row r="40" spans="1:35" x14ac:dyDescent="0.3">
      <c r="L40" s="1" t="s">
        <v>83</v>
      </c>
      <c r="M40" s="1"/>
      <c r="N40" s="1"/>
      <c r="O40" s="1"/>
      <c r="P40" s="20">
        <f ca="1">IF(ISERROR(AVERAGE(P6:P38)),0,AVERAGE(P6:P38))</f>
        <v>13.707469294035759</v>
      </c>
      <c r="Q40" s="11">
        <f ca="1">IF(ISERROR(AVERAGE(Q6:Q38)),0,AVERAGE(Q6:Q38))</f>
        <v>55</v>
      </c>
      <c r="R40" s="11"/>
      <c r="S40" s="11"/>
      <c r="T40" s="11"/>
      <c r="U40" s="11"/>
      <c r="V40" s="11"/>
      <c r="W40" s="11"/>
      <c r="X40" s="11"/>
      <c r="Y40" s="11"/>
      <c r="AA40" s="5"/>
      <c r="AD40" s="5"/>
      <c r="AE40" s="5"/>
      <c r="AH40" s="120"/>
      <c r="AI40" s="5"/>
    </row>
    <row r="41" spans="1:35" x14ac:dyDescent="0.3">
      <c r="Q41" s="143"/>
      <c r="Z41" s="73" t="s">
        <v>67</v>
      </c>
      <c r="AA41" s="28">
        <f ca="1">SUM(AA6:AA38)</f>
        <v>22.484791485293371</v>
      </c>
      <c r="AB41" s="16" t="s">
        <v>68</v>
      </c>
      <c r="AD41" s="3"/>
      <c r="AE41" s="16"/>
      <c r="AH41" s="120"/>
      <c r="AI41" s="16"/>
    </row>
    <row r="42" spans="1:35" x14ac:dyDescent="0.3">
      <c r="Q42" s="143"/>
      <c r="Y42" s="5"/>
      <c r="Z42" s="184" t="s">
        <v>69</v>
      </c>
      <c r="AA42" s="159">
        <f>AC42</f>
        <v>0</v>
      </c>
      <c r="AB42" s="185" t="s">
        <v>68</v>
      </c>
      <c r="AC42" s="84"/>
      <c r="AD42" s="3" t="s">
        <v>84</v>
      </c>
      <c r="AE42" s="16"/>
      <c r="AH42" s="120"/>
      <c r="AI42" s="16"/>
    </row>
    <row r="43" spans="1:35" x14ac:dyDescent="0.3">
      <c r="Q43" s="143"/>
      <c r="Y43" s="3"/>
      <c r="Z43" s="73" t="s">
        <v>85</v>
      </c>
      <c r="AA43" s="5">
        <f ca="1">SUM(AA41:AA42)</f>
        <v>22.484791485293371</v>
      </c>
      <c r="AB43" s="16" t="s">
        <v>68</v>
      </c>
      <c r="AD43" s="1"/>
      <c r="AE43" s="16"/>
      <c r="AH43" s="120"/>
      <c r="AI43" s="16"/>
    </row>
    <row r="44" spans="1:35" x14ac:dyDescent="0.3">
      <c r="Q44" s="143"/>
      <c r="Y44" s="3"/>
      <c r="Z44" s="77" t="s">
        <v>86</v>
      </c>
      <c r="AA44" s="5">
        <f ca="1">IF($AA$41=0,"",AC39/$AA$43)</f>
        <v>9.2506973051560912</v>
      </c>
      <c r="AB44" s="7" t="s">
        <v>72</v>
      </c>
      <c r="AD44" s="1"/>
      <c r="AE44" s="16"/>
      <c r="AH44" s="120"/>
      <c r="AI44" s="16"/>
    </row>
    <row r="45" spans="1:35" x14ac:dyDescent="0.3">
      <c r="Q45" s="143"/>
      <c r="Y45" s="1"/>
      <c r="Z45" s="73" t="s">
        <v>86</v>
      </c>
      <c r="AA45" s="8">
        <f ca="1">IF($AA$41=0,"",AD39/$AA$43)</f>
        <v>9.2506973051560912</v>
      </c>
      <c r="AB45" t="s">
        <v>73</v>
      </c>
      <c r="AD45" s="16"/>
      <c r="AE45" s="16"/>
      <c r="AH45" s="121"/>
      <c r="AI45" s="16"/>
    </row>
    <row r="46" spans="1:35" x14ac:dyDescent="0.3">
      <c r="Q46" s="143"/>
      <c r="Y46" s="1"/>
      <c r="Z46" s="73" t="s">
        <v>87</v>
      </c>
      <c r="AA46">
        <f ca="1">IF($AA$41=0,"",AE39/$AA$43)</f>
        <v>1.2087637111412326</v>
      </c>
      <c r="AB46" t="s">
        <v>73</v>
      </c>
      <c r="AD46" s="1"/>
      <c r="AE46" s="16"/>
      <c r="AI46" s="16"/>
    </row>
    <row r="47" spans="1:35" ht="15.65" x14ac:dyDescent="0.3">
      <c r="Q47" s="143"/>
      <c r="S47" s="16"/>
      <c r="X47" s="22"/>
      <c r="Y47" s="1"/>
      <c r="Z47" s="73" t="s">
        <v>74</v>
      </c>
      <c r="AA47" s="8">
        <f ca="1">COUNTIF(AG6:AG38,"&gt;0")</f>
        <v>7</v>
      </c>
      <c r="AB47" s="16"/>
      <c r="AC47" s="16"/>
      <c r="AD47" s="5"/>
      <c r="AE47" s="5"/>
      <c r="AF47" s="16"/>
      <c r="AG47" s="16"/>
      <c r="AH47" s="120"/>
      <c r="AI47" s="5"/>
    </row>
    <row r="48" spans="1:35" ht="15.65" x14ac:dyDescent="0.3">
      <c r="Q48" s="143"/>
      <c r="S48" s="16"/>
      <c r="X48" s="22"/>
      <c r="AA48" s="11"/>
      <c r="AB48" s="8"/>
      <c r="AC48" s="8"/>
      <c r="AD48" s="5"/>
      <c r="AE48" s="5"/>
      <c r="AF48" s="8"/>
      <c r="AG48" s="8"/>
      <c r="AH48" s="120"/>
      <c r="AI48" s="5"/>
    </row>
    <row r="49" spans="4:35" ht="15.65" x14ac:dyDescent="0.3">
      <c r="I49" s="1"/>
      <c r="J49" s="1"/>
      <c r="K49" s="1"/>
      <c r="L49" s="1"/>
      <c r="M49" s="1"/>
      <c r="N49" s="1"/>
      <c r="O49" s="1"/>
      <c r="P49" s="19"/>
      <c r="R49" s="5"/>
      <c r="S49" s="16"/>
      <c r="T49" s="16"/>
      <c r="U49" s="16"/>
      <c r="V49" s="16"/>
      <c r="W49" s="16"/>
      <c r="X49" s="22"/>
      <c r="Y49" s="5"/>
      <c r="Z49" s="78"/>
      <c r="AA49" s="11"/>
      <c r="AB49" s="11"/>
      <c r="AC49" s="11"/>
      <c r="AD49" s="5"/>
      <c r="AE49" s="5"/>
      <c r="AF49" s="11"/>
      <c r="AG49" s="11"/>
      <c r="AH49" s="120"/>
      <c r="AI49" s="5"/>
    </row>
    <row r="50" spans="4:35" ht="15.65" x14ac:dyDescent="0.3">
      <c r="D50" s="5"/>
      <c r="E50" s="8"/>
      <c r="F50" s="8"/>
      <c r="G50" s="8"/>
      <c r="H50" s="8"/>
      <c r="I50" s="1"/>
      <c r="J50" s="1"/>
      <c r="K50" s="1"/>
      <c r="L50" s="1"/>
      <c r="M50" s="1"/>
      <c r="N50" s="1"/>
      <c r="O50" s="1"/>
      <c r="P50" s="19"/>
      <c r="R50" s="5"/>
      <c r="S50" s="16"/>
      <c r="T50" s="145" t="s">
        <v>75</v>
      </c>
      <c r="U50" s="16"/>
      <c r="V50" s="16"/>
      <c r="W50" s="16"/>
      <c r="X50" s="22"/>
      <c r="Y50" s="5"/>
      <c r="Z50" s="78"/>
      <c r="AA50" s="11"/>
      <c r="AB50" s="1"/>
      <c r="AC50" s="11"/>
      <c r="AD50" s="5"/>
      <c r="AE50" s="5"/>
      <c r="AF50" s="11"/>
      <c r="AG50" s="11"/>
      <c r="AH50" s="120"/>
      <c r="AI50" s="5"/>
    </row>
    <row r="51" spans="4:35" ht="15.65" x14ac:dyDescent="0.3">
      <c r="D51" s="5"/>
      <c r="E51" s="8"/>
      <c r="F51" s="8"/>
      <c r="G51" s="8"/>
      <c r="H51" s="8"/>
      <c r="I51" s="1"/>
      <c r="J51" s="1"/>
      <c r="K51" s="1"/>
      <c r="L51" s="1"/>
      <c r="M51" s="1"/>
      <c r="N51" s="1"/>
      <c r="O51" s="1"/>
      <c r="P51" s="19"/>
      <c r="R51" s="5"/>
      <c r="S51" s="16"/>
      <c r="T51" s="16"/>
      <c r="U51" s="16"/>
      <c r="V51" s="16"/>
      <c r="W51" s="16"/>
      <c r="X51" s="22"/>
      <c r="Y51" s="5"/>
      <c r="Z51" s="78"/>
      <c r="AA51" s="11"/>
      <c r="AB51" s="11"/>
      <c r="AC51" s="11"/>
      <c r="AD51" s="5"/>
      <c r="AE51" s="5"/>
      <c r="AF51" s="11"/>
      <c r="AG51" s="11"/>
      <c r="AH51" s="120"/>
      <c r="AI51" s="5"/>
    </row>
    <row r="52" spans="4:35" ht="15.65" x14ac:dyDescent="0.3">
      <c r="D52" s="5"/>
      <c r="E52" s="8"/>
      <c r="F52" s="8"/>
      <c r="G52" s="8"/>
      <c r="H52" s="8"/>
      <c r="I52" s="1"/>
      <c r="J52" s="1"/>
      <c r="K52" s="1"/>
      <c r="L52" s="1"/>
      <c r="M52" s="1"/>
      <c r="N52" s="1"/>
      <c r="O52" s="1"/>
      <c r="P52" s="19"/>
      <c r="R52" s="5"/>
      <c r="S52" s="16"/>
      <c r="T52" s="16"/>
      <c r="U52" s="16"/>
      <c r="V52" s="16"/>
      <c r="W52" s="16"/>
      <c r="X52" s="22"/>
      <c r="Y52" s="5"/>
      <c r="Z52" s="78"/>
      <c r="AA52" s="11"/>
      <c r="AB52" s="11"/>
      <c r="AC52" s="11"/>
      <c r="AD52" s="5"/>
      <c r="AE52" s="5"/>
      <c r="AF52" s="11"/>
      <c r="AG52" s="11"/>
      <c r="AH52" s="120"/>
      <c r="AI52" s="5"/>
    </row>
    <row r="53" spans="4:35" ht="15.65" x14ac:dyDescent="0.3">
      <c r="D53" s="5"/>
      <c r="E53" s="8"/>
      <c r="F53" s="8"/>
      <c r="G53" s="8"/>
      <c r="H53" s="8"/>
      <c r="I53" s="1"/>
      <c r="J53" s="1"/>
      <c r="K53" s="1"/>
      <c r="L53" s="1"/>
      <c r="M53" s="1"/>
      <c r="N53" s="1"/>
      <c r="O53" s="1"/>
      <c r="P53" s="19"/>
      <c r="R53" s="5"/>
      <c r="S53" s="16"/>
      <c r="T53" s="16"/>
      <c r="U53" s="16"/>
      <c r="V53" s="16"/>
      <c r="W53" s="16"/>
      <c r="X53" s="22"/>
      <c r="Y53" s="5"/>
      <c r="Z53" s="78"/>
      <c r="AA53" s="11"/>
      <c r="AB53" s="11"/>
      <c r="AC53" s="11"/>
      <c r="AD53" s="5"/>
      <c r="AE53" s="5"/>
      <c r="AF53" s="11"/>
      <c r="AG53" s="11"/>
      <c r="AH53" s="120"/>
      <c r="AI53" s="5"/>
    </row>
    <row r="54" spans="4:35" ht="15.65" x14ac:dyDescent="0.3">
      <c r="D54" s="5"/>
      <c r="E54" s="8"/>
      <c r="F54" s="8"/>
      <c r="G54" s="8"/>
      <c r="H54" s="8"/>
      <c r="I54" s="1"/>
      <c r="J54" s="1"/>
      <c r="K54" s="1"/>
      <c r="L54" s="1"/>
      <c r="M54" s="1"/>
      <c r="N54" s="1"/>
      <c r="O54" s="1"/>
      <c r="P54" s="19"/>
      <c r="R54" s="5"/>
      <c r="S54" s="16"/>
      <c r="T54" s="16"/>
      <c r="U54" s="16"/>
      <c r="V54" s="16"/>
      <c r="W54" s="16"/>
      <c r="X54" s="22"/>
      <c r="Y54" s="5"/>
      <c r="Z54" s="78"/>
      <c r="AA54" s="11"/>
      <c r="AB54" s="11"/>
      <c r="AC54" s="11"/>
      <c r="AD54" s="5"/>
      <c r="AE54" s="5"/>
      <c r="AF54" s="11"/>
      <c r="AG54" s="11"/>
      <c r="AH54" s="120"/>
      <c r="AI54" s="5"/>
    </row>
    <row r="55" spans="4:35" ht="15.65" x14ac:dyDescent="0.3">
      <c r="D55" s="5"/>
      <c r="E55" s="8"/>
      <c r="F55" s="8"/>
      <c r="G55" s="8"/>
      <c r="H55" s="8"/>
      <c r="I55" s="1"/>
      <c r="J55" s="1"/>
      <c r="K55" s="1"/>
      <c r="L55" s="1"/>
      <c r="M55" s="1"/>
      <c r="N55" s="1"/>
      <c r="O55" s="1"/>
      <c r="P55" s="19"/>
      <c r="R55" s="5"/>
      <c r="S55" s="16"/>
      <c r="T55" s="16"/>
      <c r="U55" s="16"/>
      <c r="V55" s="16"/>
      <c r="W55" s="16"/>
      <c r="X55" s="22"/>
      <c r="Y55" s="5"/>
      <c r="Z55" s="78"/>
      <c r="AA55" s="11"/>
      <c r="AB55" s="11"/>
      <c r="AC55" s="11"/>
      <c r="AD55" s="5"/>
      <c r="AE55" s="5"/>
      <c r="AF55" s="11"/>
      <c r="AG55" s="11"/>
      <c r="AH55" s="120"/>
      <c r="AI55" s="5"/>
    </row>
    <row r="56" spans="4:35" ht="15.65" x14ac:dyDescent="0.3">
      <c r="D56" s="5"/>
      <c r="E56" s="8"/>
      <c r="F56" s="8"/>
      <c r="G56" s="8"/>
      <c r="H56" s="8"/>
      <c r="I56" s="1"/>
      <c r="J56" s="1"/>
      <c r="K56" s="1"/>
      <c r="L56" s="1"/>
      <c r="M56" s="1"/>
      <c r="N56" s="1"/>
      <c r="O56" s="1"/>
      <c r="P56" s="19"/>
      <c r="R56" s="5"/>
      <c r="S56" s="16"/>
      <c r="T56" s="16"/>
      <c r="U56" s="16"/>
      <c r="V56" s="16"/>
      <c r="W56" s="16"/>
      <c r="X56" s="22"/>
      <c r="Y56" s="5"/>
      <c r="Z56" s="78"/>
      <c r="AA56" s="11"/>
      <c r="AB56" s="11"/>
      <c r="AC56" s="11"/>
      <c r="AD56" s="5"/>
      <c r="AE56" s="5"/>
      <c r="AF56" s="11"/>
      <c r="AG56" s="11"/>
      <c r="AH56" s="120"/>
      <c r="AI56" s="5"/>
    </row>
    <row r="57" spans="4:35" ht="15.65" x14ac:dyDescent="0.3">
      <c r="D57" s="5"/>
      <c r="E57" s="8"/>
      <c r="F57" s="8"/>
      <c r="G57" s="8"/>
      <c r="H57" s="8"/>
      <c r="I57" s="1"/>
      <c r="J57" s="1"/>
      <c r="K57" s="1"/>
      <c r="L57" s="1"/>
      <c r="M57" s="1"/>
      <c r="N57" s="1"/>
      <c r="O57" s="1"/>
      <c r="P57" s="19"/>
      <c r="R57" s="5"/>
      <c r="S57" s="16"/>
      <c r="T57" s="16"/>
      <c r="U57" s="16"/>
      <c r="V57" s="16"/>
      <c r="W57" s="16"/>
      <c r="X57" s="22"/>
      <c r="Y57" s="5"/>
      <c r="Z57" s="78"/>
      <c r="AA57" s="11"/>
      <c r="AB57" s="11"/>
      <c r="AC57" s="11"/>
      <c r="AD57" s="5"/>
      <c r="AE57" s="5"/>
      <c r="AF57" s="11"/>
      <c r="AG57" s="11"/>
      <c r="AH57" s="120"/>
      <c r="AI57" s="5"/>
    </row>
    <row r="58" spans="4:35" ht="15.65" x14ac:dyDescent="0.3">
      <c r="D58" s="5"/>
      <c r="E58" s="8"/>
      <c r="F58" s="8"/>
      <c r="G58" s="8"/>
      <c r="H58" s="8"/>
      <c r="I58" s="1"/>
      <c r="J58" s="1"/>
      <c r="K58" s="1"/>
      <c r="L58" s="1"/>
      <c r="M58" s="1"/>
      <c r="N58" s="1"/>
      <c r="O58" s="1"/>
      <c r="P58" s="19"/>
      <c r="R58" s="5"/>
      <c r="S58" s="16"/>
      <c r="T58" s="16"/>
      <c r="U58" s="16"/>
      <c r="V58" s="16"/>
      <c r="W58" s="16"/>
      <c r="X58" s="22"/>
      <c r="Y58" s="5"/>
      <c r="Z58" s="78"/>
      <c r="AA58" s="11"/>
      <c r="AB58" s="11"/>
      <c r="AC58" s="11"/>
      <c r="AD58" s="5"/>
      <c r="AE58" s="5"/>
      <c r="AF58" s="11"/>
      <c r="AG58" s="11"/>
      <c r="AH58" s="120"/>
      <c r="AI58" s="5"/>
    </row>
    <row r="59" spans="4:35" ht="15.65" x14ac:dyDescent="0.3">
      <c r="D59" s="5"/>
      <c r="E59" s="8"/>
      <c r="F59" s="8"/>
      <c r="G59" s="8"/>
      <c r="H59" s="8"/>
      <c r="I59" s="1"/>
      <c r="J59" s="1"/>
      <c r="K59" s="1"/>
      <c r="L59" s="1"/>
      <c r="M59" s="1"/>
      <c r="N59" s="1"/>
      <c r="O59" s="1"/>
      <c r="P59" s="19"/>
      <c r="R59" s="5"/>
      <c r="S59" s="16"/>
      <c r="T59" s="16"/>
      <c r="U59" s="16"/>
      <c r="V59" s="16"/>
      <c r="W59" s="16"/>
      <c r="X59" s="22"/>
      <c r="Y59" s="5"/>
      <c r="Z59" s="78"/>
      <c r="AA59" s="11"/>
      <c r="AB59" s="11"/>
      <c r="AC59" s="11"/>
      <c r="AD59" s="5"/>
      <c r="AE59" s="5"/>
      <c r="AF59" s="11"/>
      <c r="AG59" s="11"/>
      <c r="AH59" s="120"/>
      <c r="AI59" s="5"/>
    </row>
    <row r="60" spans="4:35" ht="15.65" x14ac:dyDescent="0.3">
      <c r="D60" s="5"/>
      <c r="E60" s="8"/>
      <c r="F60" s="8"/>
      <c r="G60" s="8"/>
      <c r="H60" s="8"/>
      <c r="I60" s="1"/>
      <c r="J60" s="1"/>
      <c r="K60" s="1"/>
      <c r="L60" s="1"/>
      <c r="M60" s="1"/>
      <c r="N60" s="1"/>
      <c r="O60" s="1"/>
      <c r="P60" s="19"/>
      <c r="R60" s="5"/>
      <c r="S60" s="16"/>
      <c r="T60" s="16"/>
      <c r="U60" s="16"/>
      <c r="V60" s="16"/>
      <c r="W60" s="16"/>
      <c r="X60" s="22"/>
      <c r="Y60" s="5"/>
      <c r="Z60" s="78"/>
      <c r="AA60" s="11"/>
      <c r="AB60" s="11"/>
      <c r="AC60" s="11"/>
      <c r="AD60" s="5"/>
      <c r="AE60" s="5"/>
      <c r="AF60" s="11"/>
      <c r="AG60" s="11"/>
      <c r="AH60" s="120"/>
      <c r="AI60" s="5"/>
    </row>
    <row r="61" spans="4:35" ht="15.65" x14ac:dyDescent="0.3">
      <c r="D61" s="5"/>
      <c r="E61" s="8"/>
      <c r="F61" s="8"/>
      <c r="G61" s="8"/>
      <c r="H61" s="8"/>
      <c r="I61" s="1"/>
      <c r="J61" s="1"/>
      <c r="K61" s="1"/>
      <c r="L61" s="1"/>
      <c r="M61" s="1"/>
      <c r="N61" s="1"/>
      <c r="O61" s="1"/>
      <c r="P61" s="19"/>
      <c r="R61" s="5"/>
      <c r="S61" s="16"/>
      <c r="T61" s="16"/>
      <c r="U61" s="16"/>
      <c r="V61" s="16"/>
      <c r="W61" s="16"/>
      <c r="X61" s="22"/>
      <c r="Y61" s="5"/>
      <c r="Z61" s="78"/>
      <c r="AA61" s="11"/>
      <c r="AB61" s="11"/>
      <c r="AC61" s="11"/>
      <c r="AD61" s="5"/>
      <c r="AE61" s="5"/>
      <c r="AF61" s="11"/>
      <c r="AG61" s="11"/>
      <c r="AH61" s="120"/>
      <c r="AI61" s="5"/>
    </row>
    <row r="62" spans="4:35" ht="15.65" x14ac:dyDescent="0.3">
      <c r="D62" s="5"/>
      <c r="E62" s="8"/>
      <c r="F62" s="8"/>
      <c r="G62" s="8"/>
      <c r="H62" s="8"/>
      <c r="I62" s="1"/>
      <c r="J62" s="1"/>
      <c r="K62" s="1"/>
      <c r="L62" s="1"/>
      <c r="M62" s="1"/>
      <c r="N62" s="1"/>
      <c r="O62" s="1"/>
      <c r="P62" s="19"/>
      <c r="R62" s="5"/>
      <c r="S62" s="16"/>
      <c r="T62" s="16"/>
      <c r="U62" s="16"/>
      <c r="V62" s="16"/>
      <c r="W62" s="16"/>
      <c r="X62" s="22"/>
      <c r="Y62" s="5"/>
      <c r="Z62" s="78"/>
      <c r="AA62" s="11"/>
      <c r="AB62" s="11"/>
      <c r="AC62" s="11"/>
      <c r="AD62" s="5"/>
      <c r="AE62" s="5"/>
      <c r="AF62" s="11"/>
      <c r="AG62" s="11"/>
      <c r="AH62" s="120"/>
      <c r="AI62" s="5"/>
    </row>
    <row r="63" spans="4:35" ht="15.65" x14ac:dyDescent="0.3">
      <c r="D63" s="5"/>
      <c r="E63" s="8"/>
      <c r="F63" s="8"/>
      <c r="G63" s="8"/>
      <c r="H63" s="8"/>
      <c r="I63" s="1"/>
      <c r="J63" s="1"/>
      <c r="K63" s="1"/>
      <c r="L63" s="1"/>
      <c r="M63" s="1"/>
      <c r="N63" s="1"/>
      <c r="O63" s="1"/>
      <c r="P63" s="19"/>
      <c r="R63" s="5"/>
      <c r="S63" s="16"/>
      <c r="T63" s="16"/>
      <c r="U63" s="16"/>
      <c r="V63" s="16"/>
      <c r="W63" s="16"/>
      <c r="X63" s="22"/>
      <c r="Y63" s="5"/>
      <c r="Z63" s="78"/>
      <c r="AA63" s="11"/>
      <c r="AB63" s="11"/>
      <c r="AC63" s="11"/>
      <c r="AD63" s="5"/>
      <c r="AE63" s="5"/>
      <c r="AF63" s="11"/>
      <c r="AG63" s="11"/>
      <c r="AH63" s="120"/>
      <c r="AI63" s="5"/>
    </row>
    <row r="64" spans="4:35" ht="15.65" x14ac:dyDescent="0.3">
      <c r="D64" s="5"/>
      <c r="E64" s="8"/>
      <c r="F64" s="8"/>
      <c r="G64" s="8"/>
      <c r="H64" s="8"/>
      <c r="I64" s="1"/>
      <c r="J64" s="1"/>
      <c r="K64" s="1"/>
      <c r="L64" s="1"/>
      <c r="M64" s="1"/>
      <c r="N64" s="1"/>
      <c r="O64" s="1"/>
      <c r="P64" s="19"/>
      <c r="R64" s="5"/>
      <c r="S64" s="16"/>
      <c r="T64" s="16"/>
      <c r="U64" s="16"/>
      <c r="V64" s="16"/>
      <c r="W64" s="16"/>
      <c r="X64" s="22"/>
      <c r="Y64" s="5"/>
      <c r="Z64" s="78"/>
      <c r="AA64" s="11"/>
      <c r="AB64" s="11"/>
      <c r="AC64" s="11"/>
      <c r="AD64" s="5"/>
      <c r="AE64" s="5"/>
      <c r="AF64" s="11"/>
      <c r="AG64" s="11"/>
      <c r="AH64" s="120"/>
      <c r="AI64" s="5"/>
    </row>
    <row r="65" spans="4:35" ht="15.65" x14ac:dyDescent="0.3">
      <c r="D65" s="5"/>
      <c r="E65" s="8"/>
      <c r="F65" s="8"/>
      <c r="G65" s="8"/>
      <c r="H65" s="8"/>
      <c r="I65" s="1"/>
      <c r="J65" s="1"/>
      <c r="K65" s="1"/>
      <c r="L65" s="1"/>
      <c r="M65" s="1"/>
      <c r="N65" s="1"/>
      <c r="O65" s="1"/>
      <c r="P65" s="19"/>
      <c r="R65" s="5"/>
      <c r="S65" s="16"/>
      <c r="T65" s="16"/>
      <c r="U65" s="16"/>
      <c r="V65" s="16"/>
      <c r="W65" s="16"/>
      <c r="X65" s="22"/>
      <c r="Y65" s="5"/>
      <c r="Z65" s="78"/>
      <c r="AA65" s="11"/>
      <c r="AB65" s="11"/>
      <c r="AC65" s="11"/>
      <c r="AD65" s="5"/>
      <c r="AE65" s="5"/>
      <c r="AF65" s="11"/>
      <c r="AG65" s="11"/>
      <c r="AH65" s="120"/>
      <c r="AI65" s="5"/>
    </row>
    <row r="66" spans="4:35" ht="15.65" x14ac:dyDescent="0.3">
      <c r="D66" s="5"/>
      <c r="E66" s="8"/>
      <c r="F66" s="8"/>
      <c r="G66" s="8"/>
      <c r="H66" s="8"/>
      <c r="I66" s="1"/>
      <c r="J66" s="1"/>
      <c r="K66" s="1"/>
      <c r="L66" s="1"/>
      <c r="M66" s="1"/>
      <c r="N66" s="1"/>
      <c r="O66" s="1"/>
      <c r="P66" s="19"/>
      <c r="R66" s="5"/>
      <c r="S66" s="16"/>
      <c r="T66" s="16"/>
      <c r="U66" s="16"/>
      <c r="V66" s="16"/>
      <c r="W66" s="16"/>
      <c r="X66" s="22"/>
      <c r="Y66" s="5"/>
      <c r="Z66" s="78"/>
      <c r="AA66" s="11"/>
      <c r="AB66" s="11"/>
      <c r="AC66" s="11"/>
      <c r="AD66" s="5"/>
      <c r="AE66" s="5"/>
      <c r="AF66" s="11"/>
      <c r="AG66" s="11"/>
      <c r="AH66" s="120"/>
      <c r="AI66" s="5"/>
    </row>
    <row r="67" spans="4:35" ht="15.65" x14ac:dyDescent="0.3">
      <c r="D67" s="5"/>
      <c r="E67" s="8"/>
      <c r="F67" s="8"/>
      <c r="G67" s="8"/>
      <c r="H67" s="8"/>
      <c r="I67" s="1"/>
      <c r="J67" s="1"/>
      <c r="K67" s="1"/>
      <c r="L67" s="1"/>
      <c r="M67" s="1"/>
      <c r="N67" s="1"/>
      <c r="O67" s="1"/>
      <c r="P67" s="19"/>
      <c r="R67" s="5"/>
      <c r="S67" s="16"/>
      <c r="T67" s="16"/>
      <c r="U67" s="16"/>
      <c r="V67" s="16"/>
      <c r="W67" s="16"/>
      <c r="X67" s="22"/>
      <c r="Y67" s="5"/>
      <c r="Z67" s="78"/>
      <c r="AA67" s="16"/>
      <c r="AB67" s="11"/>
      <c r="AC67" s="11"/>
      <c r="AD67" s="5"/>
      <c r="AE67" s="5"/>
      <c r="AF67" s="11"/>
      <c r="AG67" s="11"/>
      <c r="AH67" s="120"/>
      <c r="AI67" s="5"/>
    </row>
    <row r="68" spans="4:35" ht="15.65" x14ac:dyDescent="0.3">
      <c r="D68" s="5"/>
      <c r="E68" s="8"/>
      <c r="F68" s="8"/>
      <c r="G68" s="8"/>
      <c r="H68" s="8"/>
      <c r="I68" s="1"/>
      <c r="J68" s="1"/>
      <c r="K68" s="1"/>
      <c r="L68" s="1"/>
      <c r="M68" s="1"/>
      <c r="N68" s="1"/>
      <c r="O68" s="1"/>
      <c r="P68" s="19"/>
      <c r="R68" s="5"/>
      <c r="S68" s="16"/>
      <c r="T68" s="16"/>
      <c r="U68" s="16"/>
      <c r="V68" s="16"/>
      <c r="W68" s="16"/>
      <c r="X68" s="22"/>
      <c r="Y68" s="5"/>
      <c r="Z68" s="78"/>
      <c r="AB68" s="11"/>
      <c r="AC68" s="11"/>
      <c r="AD68" s="5"/>
      <c r="AE68" s="5"/>
      <c r="AF68" s="11"/>
      <c r="AG68" s="11"/>
      <c r="AH68" s="120"/>
      <c r="AI68" s="5"/>
    </row>
    <row r="69" spans="4:35" ht="15.65" x14ac:dyDescent="0.3">
      <c r="D69" s="5"/>
      <c r="E69" s="8"/>
      <c r="F69" s="8"/>
      <c r="G69" s="8"/>
      <c r="H69" s="8"/>
      <c r="I69" s="1"/>
      <c r="J69" s="1"/>
      <c r="K69" s="1"/>
      <c r="L69" s="1"/>
      <c r="M69" s="1"/>
      <c r="N69" s="1"/>
      <c r="O69" s="1"/>
      <c r="P69" s="19"/>
      <c r="R69" s="5"/>
      <c r="S69" s="16"/>
      <c r="T69" s="16"/>
      <c r="U69" s="16"/>
      <c r="V69" s="16"/>
      <c r="W69" s="16"/>
      <c r="X69" s="22"/>
      <c r="Y69" s="5"/>
      <c r="Z69" s="78"/>
      <c r="AB69" s="16"/>
      <c r="AC69" s="16"/>
      <c r="AD69" s="5"/>
      <c r="AE69" s="5"/>
      <c r="AF69" s="16"/>
      <c r="AG69" s="16"/>
      <c r="AH69" s="120"/>
      <c r="AI69" s="5"/>
    </row>
    <row r="70" spans="4:35" x14ac:dyDescent="0.3">
      <c r="T70" s="16"/>
      <c r="U70" s="16"/>
      <c r="V70" s="16"/>
      <c r="W70" s="16"/>
      <c r="Y70" s="5"/>
    </row>
    <row r="71" spans="4:35" x14ac:dyDescent="0.3">
      <c r="T71" s="16"/>
      <c r="U71" s="16"/>
      <c r="V71" s="16"/>
      <c r="W71" s="16"/>
      <c r="Y71" s="5"/>
    </row>
  </sheetData>
  <sheetProtection formatCells="0" formatColumns="0" formatRows="0" insertColumns="0" insertRows="0" deleteRows="0" autoFilter="0"/>
  <protectedRanges>
    <protectedRange sqref="T39:V47" name="order info"/>
    <protectedRange sqref="AH6:AH38" name="inPrepool"/>
    <protectedRange sqref="AA4" name="pool constant"/>
    <protectedRange sqref="T2" name="date_1_1"/>
  </protectedRanges>
  <autoFilter ref="B5:AI46" xr:uid="{00000000-0009-0000-0000-000003000000}"/>
  <mergeCells count="1">
    <mergeCell ref="T2:U2"/>
  </mergeCells>
  <conditionalFormatting sqref="V4">
    <cfRule type="cellIs" dxfId="18" priority="20" operator="greaterThan">
      <formula>0</formula>
    </cfRule>
  </conditionalFormatting>
  <conditionalFormatting sqref="AA6:AA38">
    <cfRule type="cellIs" dxfId="17" priority="1" operator="between">
      <formula>2</formula>
      <formula>$E6/2</formula>
    </cfRule>
    <cfRule type="cellIs" dxfId="16" priority="2" stopIfTrue="1" operator="equal">
      <formula>""</formula>
    </cfRule>
    <cfRule type="expression" dxfId="15" priority="3" stopIfTrue="1">
      <formula>ISTEXT(AA6)</formula>
    </cfRule>
    <cfRule type="cellIs" dxfId="14" priority="4" stopIfTrue="1" operator="greaterThan">
      <formula>$E6</formula>
    </cfRule>
    <cfRule type="cellIs" dxfId="13" priority="5" operator="greaterThan">
      <formula>$E6/2</formula>
    </cfRule>
  </conditionalFormatting>
  <conditionalFormatting sqref="AA67">
    <cfRule type="cellIs" dxfId="12" priority="16" stopIfTrue="1" operator="greaterThan">
      <formula>#REF!</formula>
    </cfRule>
    <cfRule type="cellIs" dxfId="11" priority="17" operator="greaterThan">
      <formula>#REF!/2</formula>
    </cfRule>
  </conditionalFormatting>
  <conditionalFormatting sqref="AC69">
    <cfRule type="cellIs" dxfId="10" priority="32" stopIfTrue="1" operator="greaterThan">
      <formula>#REF!</formula>
    </cfRule>
    <cfRule type="cellIs" dxfId="9" priority="33" operator="greaterThan">
      <formula>#REF!/2</formula>
    </cfRule>
  </conditionalFormatting>
  <conditionalFormatting sqref="AF69:AG69">
    <cfRule type="cellIs" dxfId="8" priority="18" stopIfTrue="1" operator="greaterThan">
      <formula>#REF!</formula>
    </cfRule>
    <cfRule type="cellIs" dxfId="7" priority="19" operator="greaterThan">
      <formula>#REF!/2</formula>
    </cfRule>
  </conditionalFormatting>
  <conditionalFormatting sqref="AH6:AH38">
    <cfRule type="expression" dxfId="6" priority="21" stopIfTrue="1">
      <formula>AND(AH6&gt;0,AI6&gt;0)</formula>
    </cfRule>
    <cfRule type="expression" dxfId="5" priority="22">
      <formula>AI6&gt;0</formula>
    </cfRule>
  </conditionalFormatting>
  <conditionalFormatting sqref="AI6:AI38">
    <cfRule type="cellIs" dxfId="4" priority="23" operator="greaterThan">
      <formula>0</formula>
    </cfRule>
  </conditionalFormatting>
  <pageMargins left="1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0"/>
  <sheetViews>
    <sheetView workbookViewId="0">
      <selection activeCell="J22" sqref="J22"/>
    </sheetView>
  </sheetViews>
  <sheetFormatPr defaultColWidth="8.77734375" defaultRowHeight="15.05" x14ac:dyDescent="0.3"/>
  <cols>
    <col min="1" max="1" width="12.44140625" customWidth="1"/>
  </cols>
  <sheetData>
    <row r="1" spans="1:5" x14ac:dyDescent="0.3">
      <c r="A1" t="s">
        <v>88</v>
      </c>
      <c r="B1" t="s">
        <v>89</v>
      </c>
      <c r="D1" t="s">
        <v>90</v>
      </c>
      <c r="E1" t="s">
        <v>15</v>
      </c>
    </row>
    <row r="2" spans="1:5" x14ac:dyDescent="0.3">
      <c r="A2" t="str">
        <f>INPUTS!A6&amp;"-"&amp;INPUTS!M6&amp;"-"&amp;INPUTS!B6</f>
        <v>7050I--EF19</v>
      </c>
      <c r="B2" t="str">
        <f>INPUTS!F6</f>
        <v>P4_A05</v>
      </c>
      <c r="C2">
        <f>INPUTS!G6</f>
        <v>0</v>
      </c>
      <c r="D2" t="str">
        <f>INPUTS!M6&amp;":"&amp;INPUTS!A6</f>
        <v>:7050I</v>
      </c>
      <c r="E2" t="str">
        <f>INPUTS!B6</f>
        <v>EF19</v>
      </c>
    </row>
    <row r="3" spans="1:5" x14ac:dyDescent="0.3">
      <c r="A3" t="str">
        <f>INPUTS!A7&amp;"-"&amp;INPUTS!M7&amp;"-"&amp;INPUTS!B7</f>
        <v>7050I--EF20</v>
      </c>
      <c r="B3" t="str">
        <f>INPUTS!F7</f>
        <v>P4_B05</v>
      </c>
      <c r="C3">
        <f>INPUTS!G7</f>
        <v>0</v>
      </c>
      <c r="D3" t="str">
        <f>INPUTS!M7&amp;":"&amp;INPUTS!A7</f>
        <v>:7050I</v>
      </c>
      <c r="E3" t="str">
        <f>INPUTS!B7</f>
        <v>EF20</v>
      </c>
    </row>
    <row r="4" spans="1:5" x14ac:dyDescent="0.3">
      <c r="A4" t="str">
        <f>INPUTS!A8&amp;"-"&amp;INPUTS!M8&amp;"-"&amp;INPUTS!B8</f>
        <v>7050I--EF21</v>
      </c>
      <c r="B4" t="str">
        <f>INPUTS!F8</f>
        <v>P4_C05</v>
      </c>
      <c r="C4">
        <f>INPUTS!G8</f>
        <v>0</v>
      </c>
      <c r="D4" t="str">
        <f>INPUTS!M8&amp;":"&amp;INPUTS!A8</f>
        <v>:7050I</v>
      </c>
      <c r="E4" t="str">
        <f>INPUTS!B8</f>
        <v>EF21</v>
      </c>
    </row>
    <row r="5" spans="1:5" x14ac:dyDescent="0.3">
      <c r="A5" t="str">
        <f>INPUTS!A9&amp;"-"&amp;INPUTS!M9&amp;"-"&amp;INPUTS!B9</f>
        <v>7050I--EF22</v>
      </c>
      <c r="B5" t="str">
        <f>INPUTS!F9</f>
        <v>P4_D05</v>
      </c>
      <c r="C5">
        <f>INPUTS!G9</f>
        <v>0</v>
      </c>
      <c r="D5" t="str">
        <f>INPUTS!M9&amp;":"&amp;INPUTS!A9</f>
        <v>:7050I</v>
      </c>
      <c r="E5" t="str">
        <f>INPUTS!B9</f>
        <v>EF22</v>
      </c>
    </row>
    <row r="6" spans="1:5" x14ac:dyDescent="0.3">
      <c r="A6" t="str">
        <f>INPUTS!A10&amp;"-"&amp;INPUTS!M10&amp;"-"&amp;INPUTS!B10</f>
        <v>7050I--EF23</v>
      </c>
      <c r="B6" t="str">
        <f>INPUTS!F10</f>
        <v>P4_E05</v>
      </c>
      <c r="C6">
        <f>INPUTS!G10</f>
        <v>0</v>
      </c>
      <c r="D6" t="str">
        <f>INPUTS!M10&amp;":"&amp;INPUTS!A10</f>
        <v>:7050I</v>
      </c>
      <c r="E6" t="str">
        <f>INPUTS!B10</f>
        <v>EF23</v>
      </c>
    </row>
    <row r="7" spans="1:5" x14ac:dyDescent="0.3">
      <c r="A7" t="str">
        <f>INPUTS!A11&amp;"-"&amp;INPUTS!M11&amp;"-"&amp;INPUTS!B11</f>
        <v>7050I--EF24</v>
      </c>
      <c r="B7" t="str">
        <f>INPUTS!F11</f>
        <v>P4_F05</v>
      </c>
      <c r="C7">
        <f>INPUTS!G11</f>
        <v>0</v>
      </c>
      <c r="D7" t="str">
        <f>INPUTS!M11&amp;":"&amp;INPUTS!A11</f>
        <v>:7050I</v>
      </c>
      <c r="E7" t="str">
        <f>INPUTS!B11</f>
        <v>EF24</v>
      </c>
    </row>
    <row r="8" spans="1:5" x14ac:dyDescent="0.3">
      <c r="A8" t="str">
        <f>INPUTS!A12&amp;"-"&amp;INPUTS!M12&amp;"-"&amp;INPUTS!B12</f>
        <v>7050I--EF25</v>
      </c>
      <c r="B8" t="str">
        <f>INPUTS!F12</f>
        <v>P4_A06</v>
      </c>
      <c r="C8">
        <f>INPUTS!G12</f>
        <v>0</v>
      </c>
      <c r="D8" t="str">
        <f>INPUTS!M12&amp;":"&amp;INPUTS!A12</f>
        <v>:7050I</v>
      </c>
      <c r="E8" t="str">
        <f>INPUTS!B12</f>
        <v>EF25</v>
      </c>
    </row>
    <row r="9" spans="1:5" x14ac:dyDescent="0.3">
      <c r="A9" t="str">
        <f>INPUTS!A13&amp;"-"&amp;INPUTS!M13&amp;"-"&amp;INPUTS!B13</f>
        <v>7050I--EF26</v>
      </c>
      <c r="B9" t="str">
        <f>INPUTS!F13</f>
        <v>P4_B06</v>
      </c>
      <c r="C9">
        <f>INPUTS!G13</f>
        <v>0</v>
      </c>
      <c r="D9" t="str">
        <f>INPUTS!M13&amp;":"&amp;INPUTS!A13</f>
        <v>:7050I</v>
      </c>
      <c r="E9" t="str">
        <f>INPUTS!B13</f>
        <v>EF26</v>
      </c>
    </row>
    <row r="10" spans="1:5" x14ac:dyDescent="0.3">
      <c r="A10" t="str">
        <f>INPUTS!A14&amp;"-"&amp;INPUTS!M14&amp;"-"&amp;INPUTS!B14</f>
        <v>7050I--EF27</v>
      </c>
      <c r="B10" t="str">
        <f>INPUTS!F14</f>
        <v>P4_C06</v>
      </c>
      <c r="C10">
        <f>INPUTS!G14</f>
        <v>0</v>
      </c>
      <c r="D10" t="str">
        <f>INPUTS!M14&amp;":"&amp;INPUTS!A14</f>
        <v>:7050I</v>
      </c>
      <c r="E10" t="str">
        <f>INPUTS!B14</f>
        <v>EF27</v>
      </c>
    </row>
    <row r="11" spans="1:5" x14ac:dyDescent="0.3">
      <c r="A11" t="str">
        <f>INPUTS!A15&amp;"-"&amp;INPUTS!M15&amp;"-"&amp;INPUTS!B15</f>
        <v>7050I--EF28</v>
      </c>
      <c r="B11" t="str">
        <f>INPUTS!F15</f>
        <v>P4_D06</v>
      </c>
      <c r="C11">
        <f>INPUTS!G15</f>
        <v>0</v>
      </c>
      <c r="D11" t="str">
        <f>INPUTS!M15&amp;":"&amp;INPUTS!A15</f>
        <v>:7050I</v>
      </c>
      <c r="E11" t="str">
        <f>INPUTS!B15</f>
        <v>EF28</v>
      </c>
    </row>
    <row r="12" spans="1:5" x14ac:dyDescent="0.3">
      <c r="A12" t="str">
        <f>INPUTS!A16&amp;"-"&amp;INPUTS!M16&amp;"-"&amp;INPUTS!B16</f>
        <v>7050I--EF29</v>
      </c>
      <c r="B12" t="str">
        <f>INPUTS!F16</f>
        <v>P4_E06</v>
      </c>
      <c r="C12">
        <f>INPUTS!G16</f>
        <v>0</v>
      </c>
      <c r="D12" t="str">
        <f>INPUTS!M16&amp;":"&amp;INPUTS!A16</f>
        <v>:7050I</v>
      </c>
      <c r="E12" t="str">
        <f>INPUTS!B16</f>
        <v>EF29</v>
      </c>
    </row>
    <row r="13" spans="1:5" x14ac:dyDescent="0.3">
      <c r="A13" t="str">
        <f>INPUTS!A17&amp;"-"&amp;INPUTS!M17&amp;"-"&amp;INPUTS!B17</f>
        <v>7050I--EF30</v>
      </c>
      <c r="B13" t="str">
        <f>INPUTS!F17</f>
        <v>P4_F06</v>
      </c>
      <c r="C13">
        <f>INPUTS!G17</f>
        <v>0</v>
      </c>
      <c r="D13" t="str">
        <f>INPUTS!M17&amp;":"&amp;INPUTS!A17</f>
        <v>:7050I</v>
      </c>
      <c r="E13" t="str">
        <f>INPUTS!B17</f>
        <v>EF30</v>
      </c>
    </row>
    <row r="14" spans="1:5" x14ac:dyDescent="0.3">
      <c r="A14" t="str">
        <f>INPUTS!A18&amp;"-"&amp;INPUTS!M18&amp;"-"&amp;INPUTS!B18</f>
        <v>--</v>
      </c>
      <c r="B14">
        <f>INPUTS!F18</f>
        <v>0</v>
      </c>
      <c r="C14">
        <f>INPUTS!F18</f>
        <v>0</v>
      </c>
      <c r="D14" t="str">
        <f>INPUTS!M18&amp;":"&amp;INPUTS!A18</f>
        <v>:</v>
      </c>
      <c r="E14">
        <f>INPUTS!B18</f>
        <v>0</v>
      </c>
    </row>
    <row r="15" spans="1:5" x14ac:dyDescent="0.3">
      <c r="A15" t="str">
        <f>INPUTS!A19&amp;"-"&amp;INPUTS!M19&amp;"-"&amp;INPUTS!B19</f>
        <v>--</v>
      </c>
      <c r="B15">
        <f>INPUTS!F19</f>
        <v>0</v>
      </c>
      <c r="C15">
        <f>INPUTS!F19</f>
        <v>0</v>
      </c>
      <c r="D15" t="str">
        <f>INPUTS!M19&amp;":"&amp;INPUTS!A19</f>
        <v>:</v>
      </c>
      <c r="E15">
        <f>INPUTS!B19</f>
        <v>0</v>
      </c>
    </row>
    <row r="16" spans="1:5" x14ac:dyDescent="0.3">
      <c r="A16" t="str">
        <f>INPUTS!A20&amp;"-"&amp;INPUTS!M20&amp;"-"&amp;INPUTS!B20</f>
        <v>--</v>
      </c>
      <c r="B16">
        <f>INPUTS!F20</f>
        <v>0</v>
      </c>
      <c r="C16">
        <f>INPUTS!F20</f>
        <v>0</v>
      </c>
      <c r="D16" t="str">
        <f>INPUTS!M20&amp;":"&amp;INPUTS!A20</f>
        <v>:</v>
      </c>
      <c r="E16">
        <f>INPUTS!B20</f>
        <v>0</v>
      </c>
    </row>
    <row r="17" spans="1:5" x14ac:dyDescent="0.3">
      <c r="A17" t="str">
        <f>INPUTS!A21&amp;"-"&amp;INPUTS!M21&amp;"-"&amp;INPUTS!B21</f>
        <v>--</v>
      </c>
      <c r="B17">
        <f>INPUTS!F21</f>
        <v>0</v>
      </c>
      <c r="C17">
        <f>INPUTS!F21</f>
        <v>0</v>
      </c>
      <c r="D17" t="str">
        <f>INPUTS!M21&amp;":"&amp;INPUTS!A21</f>
        <v>:</v>
      </c>
      <c r="E17">
        <f>INPUTS!B21</f>
        <v>0</v>
      </c>
    </row>
    <row r="18" spans="1:5" x14ac:dyDescent="0.3">
      <c r="A18" t="str">
        <f>INPUTS!A22&amp;"-"&amp;INPUTS!M22&amp;"-"&amp;INPUTS!B22</f>
        <v>--</v>
      </c>
      <c r="B18">
        <f>INPUTS!F22</f>
        <v>0</v>
      </c>
      <c r="C18">
        <f>INPUTS!F22</f>
        <v>0</v>
      </c>
      <c r="D18" t="str">
        <f>INPUTS!M22&amp;":"&amp;INPUTS!A22</f>
        <v>:</v>
      </c>
      <c r="E18">
        <f>INPUTS!B22</f>
        <v>0</v>
      </c>
    </row>
    <row r="19" spans="1:5" x14ac:dyDescent="0.3">
      <c r="A19" t="str">
        <f>INPUTS!A23&amp;"-"&amp;INPUTS!M23&amp;"-"&amp;INPUTS!B23</f>
        <v>--</v>
      </c>
      <c r="B19">
        <f>INPUTS!F23</f>
        <v>0</v>
      </c>
      <c r="C19">
        <f>INPUTS!F23</f>
        <v>0</v>
      </c>
      <c r="D19" t="str">
        <f>INPUTS!M23&amp;":"&amp;INPUTS!A23</f>
        <v>:</v>
      </c>
      <c r="E19">
        <f>INPUTS!B23</f>
        <v>0</v>
      </c>
    </row>
    <row r="20" spans="1:5" x14ac:dyDescent="0.3">
      <c r="A20" t="str">
        <f>INPUTS!A24&amp;"-"&amp;INPUTS!M24&amp;"-"&amp;INPUTS!B24</f>
        <v>--</v>
      </c>
      <c r="B20">
        <f>INPUTS!F24</f>
        <v>0</v>
      </c>
      <c r="C20">
        <f>INPUTS!F24</f>
        <v>0</v>
      </c>
      <c r="D20" t="str">
        <f>INPUTS!M24&amp;":"&amp;INPUTS!A24</f>
        <v>:</v>
      </c>
      <c r="E20">
        <f>INPUTS!B24</f>
        <v>0</v>
      </c>
    </row>
    <row r="21" spans="1:5" x14ac:dyDescent="0.3">
      <c r="A21" t="str">
        <f>INPUTS!A25&amp;"-"&amp;INPUTS!M25&amp;"-"&amp;INPUTS!B25</f>
        <v>--</v>
      </c>
      <c r="B21">
        <f>INPUTS!F25</f>
        <v>0</v>
      </c>
      <c r="C21">
        <f>INPUTS!G25</f>
        <v>0</v>
      </c>
      <c r="D21" t="str">
        <f>INPUTS!M25&amp;":"&amp;INPUTS!A25</f>
        <v>:</v>
      </c>
      <c r="E21">
        <f>INPUTS!B25</f>
        <v>0</v>
      </c>
    </row>
    <row r="22" spans="1:5" x14ac:dyDescent="0.3">
      <c r="A22" t="str">
        <f>INPUTS!A26&amp;"-"&amp;INPUTS!M26&amp;"-"&amp;INPUTS!B26</f>
        <v>--</v>
      </c>
      <c r="B22">
        <f>INPUTS!F26</f>
        <v>0</v>
      </c>
      <c r="C22">
        <f>INPUTS!G26</f>
        <v>0</v>
      </c>
      <c r="D22" t="str">
        <f>INPUTS!M26&amp;":"&amp;INPUTS!A26</f>
        <v>:</v>
      </c>
      <c r="E22">
        <f>INPUTS!B26</f>
        <v>0</v>
      </c>
    </row>
    <row r="23" spans="1:5" x14ac:dyDescent="0.3">
      <c r="A23" t="str">
        <f>INPUTS!A27&amp;"-"&amp;INPUTS!M27&amp;"-"&amp;INPUTS!B27</f>
        <v>--</v>
      </c>
      <c r="B23">
        <f>INPUTS!F27</f>
        <v>0</v>
      </c>
      <c r="C23">
        <f>INPUTS!G27</f>
        <v>0</v>
      </c>
      <c r="D23" t="str">
        <f>INPUTS!M27&amp;":"&amp;INPUTS!A27</f>
        <v>:</v>
      </c>
      <c r="E23">
        <f>INPUTS!B27</f>
        <v>0</v>
      </c>
    </row>
    <row r="24" spans="1:5" x14ac:dyDescent="0.3">
      <c r="A24" t="str">
        <f>INPUTS!A28&amp;"-"&amp;INPUTS!M28&amp;"-"&amp;INPUTS!B28</f>
        <v>--</v>
      </c>
      <c r="B24">
        <f>INPUTS!F28</f>
        <v>0</v>
      </c>
      <c r="C24">
        <f>INPUTS!G28</f>
        <v>0</v>
      </c>
      <c r="D24" t="str">
        <f>INPUTS!M28&amp;":"&amp;INPUTS!A28</f>
        <v>:</v>
      </c>
      <c r="E24">
        <f>INPUTS!B28</f>
        <v>0</v>
      </c>
    </row>
    <row r="25" spans="1:5" x14ac:dyDescent="0.3">
      <c r="A25" t="str">
        <f>INPUTS!A29&amp;"-"&amp;INPUTS!M29&amp;"-"&amp;INPUTS!B29</f>
        <v>--</v>
      </c>
      <c r="B25">
        <f>INPUTS!F29</f>
        <v>0</v>
      </c>
      <c r="C25">
        <f>INPUTS!G29</f>
        <v>0</v>
      </c>
      <c r="D25" t="str">
        <f>INPUTS!M29&amp;":"&amp;INPUTS!A29</f>
        <v>:</v>
      </c>
      <c r="E25">
        <f>INPUTS!B29</f>
        <v>0</v>
      </c>
    </row>
    <row r="26" spans="1:5" x14ac:dyDescent="0.3">
      <c r="A26" t="str">
        <f>INPUTS!A30&amp;"-"&amp;INPUTS!M30&amp;"-"&amp;INPUTS!B30</f>
        <v>--</v>
      </c>
      <c r="B26">
        <f>INPUTS!F30</f>
        <v>0</v>
      </c>
      <c r="C26">
        <f>INPUTS!G30</f>
        <v>0</v>
      </c>
      <c r="D26" t="str">
        <f>INPUTS!M30&amp;":"&amp;INPUTS!A30</f>
        <v>:</v>
      </c>
      <c r="E26">
        <f>INPUTS!B30</f>
        <v>0</v>
      </c>
    </row>
    <row r="27" spans="1:5" x14ac:dyDescent="0.3">
      <c r="A27" t="str">
        <f>INPUTS!A31&amp;"-"&amp;INPUTS!M31&amp;"-"&amp;INPUTS!B31</f>
        <v>--</v>
      </c>
      <c r="B27">
        <f>INPUTS!F31</f>
        <v>0</v>
      </c>
      <c r="C27">
        <f>INPUTS!G31</f>
        <v>0</v>
      </c>
      <c r="D27" t="str">
        <f>INPUTS!M31&amp;":"&amp;INPUTS!A31</f>
        <v>:</v>
      </c>
      <c r="E27">
        <f>INPUTS!B31</f>
        <v>0</v>
      </c>
    </row>
    <row r="28" spans="1:5" x14ac:dyDescent="0.3">
      <c r="A28" t="str">
        <f>INPUTS!A32&amp;"-"&amp;INPUTS!M32&amp;"-"&amp;INPUTS!B32</f>
        <v>--</v>
      </c>
      <c r="B28">
        <f>INPUTS!F32</f>
        <v>0</v>
      </c>
      <c r="C28">
        <f>INPUTS!G32</f>
        <v>0</v>
      </c>
      <c r="D28" t="str">
        <f>INPUTS!M32&amp;":"&amp;INPUTS!A32</f>
        <v>:</v>
      </c>
      <c r="E28">
        <f>INPUTS!B32</f>
        <v>0</v>
      </c>
    </row>
    <row r="29" spans="1:5" x14ac:dyDescent="0.3">
      <c r="A29" t="str">
        <f>INPUTS!A33&amp;"-"&amp;INPUTS!M33&amp;"-"&amp;INPUTS!B33</f>
        <v>--</v>
      </c>
      <c r="B29">
        <f>INPUTS!F33</f>
        <v>0</v>
      </c>
      <c r="C29">
        <f>INPUTS!G33</f>
        <v>0</v>
      </c>
      <c r="D29" t="str">
        <f>INPUTS!M33&amp;":"&amp;INPUTS!A33</f>
        <v>:</v>
      </c>
      <c r="E29">
        <f>INPUTS!B33</f>
        <v>0</v>
      </c>
    </row>
    <row r="30" spans="1:5" x14ac:dyDescent="0.3">
      <c r="A30" t="str">
        <f>INPUTS!A34&amp;"-"&amp;INPUTS!M34&amp;"-"&amp;INPUTS!B34</f>
        <v>--</v>
      </c>
      <c r="B30">
        <f>INPUTS!F34</f>
        <v>0</v>
      </c>
      <c r="C30">
        <f>INPUTS!G34</f>
        <v>0</v>
      </c>
      <c r="D30" t="str">
        <f>INPUTS!M34&amp;":"&amp;INPUTS!A34</f>
        <v>:</v>
      </c>
      <c r="E30">
        <f>INPUTS!B34</f>
        <v>0</v>
      </c>
    </row>
    <row r="31" spans="1:5" x14ac:dyDescent="0.3">
      <c r="A31" t="str">
        <f>INPUTS!A35&amp;"-"&amp;INPUTS!M35&amp;"-"&amp;INPUTS!B35</f>
        <v>--</v>
      </c>
      <c r="B31">
        <f>INPUTS!F35</f>
        <v>0</v>
      </c>
      <c r="C31">
        <f>INPUTS!G35</f>
        <v>0</v>
      </c>
      <c r="D31" t="str">
        <f>INPUTS!M35&amp;":"&amp;INPUTS!A35</f>
        <v>:</v>
      </c>
      <c r="E31">
        <f>INPUTS!B35</f>
        <v>0</v>
      </c>
    </row>
    <row r="32" spans="1:5" x14ac:dyDescent="0.3">
      <c r="A32" t="str">
        <f>INPUTS!A36&amp;"-"&amp;INPUTS!M36&amp;"-"&amp;INPUTS!B36</f>
        <v>--</v>
      </c>
      <c r="B32">
        <f>INPUTS!F36</f>
        <v>0</v>
      </c>
      <c r="C32">
        <f>INPUTS!G36</f>
        <v>0</v>
      </c>
      <c r="D32" t="str">
        <f>INPUTS!M36&amp;":"&amp;INPUTS!A36</f>
        <v>:</v>
      </c>
      <c r="E32">
        <f>INPUTS!B36</f>
        <v>0</v>
      </c>
    </row>
    <row r="33" spans="1:5" x14ac:dyDescent="0.3">
      <c r="A33" t="str">
        <f>INPUTS!A37&amp;"-"&amp;INPUTS!M37&amp;"-"&amp;INPUTS!B37</f>
        <v>--</v>
      </c>
      <c r="B33">
        <f>INPUTS!F37</f>
        <v>0</v>
      </c>
      <c r="C33">
        <f>INPUTS!G37</f>
        <v>0</v>
      </c>
      <c r="D33" t="str">
        <f>INPUTS!M37&amp;":"&amp;INPUTS!A37</f>
        <v>:</v>
      </c>
      <c r="E33">
        <f>INPUTS!B37</f>
        <v>0</v>
      </c>
    </row>
    <row r="34" spans="1:5" x14ac:dyDescent="0.3">
      <c r="A34" t="str">
        <f>INPUTS!A38&amp;"-"&amp;INPUTS!M38&amp;"-"&amp;INPUTS!B38</f>
        <v>--</v>
      </c>
      <c r="B34">
        <f>INPUTS!F38</f>
        <v>0</v>
      </c>
      <c r="C34">
        <f>INPUTS!G38</f>
        <v>0</v>
      </c>
      <c r="D34" t="str">
        <f>INPUTS!M38&amp;":"&amp;INPUTS!A38</f>
        <v>:</v>
      </c>
      <c r="E34">
        <f>INPUTS!B38</f>
        <v>0</v>
      </c>
    </row>
    <row r="35" spans="1:5" x14ac:dyDescent="0.3">
      <c r="A35" t="str">
        <f>INPUTS!A39&amp;"-"&amp;INPUTS!M39&amp;"-"&amp;INPUTS!B39</f>
        <v>pooling sheets end here -- add more rows/copy formulas down in Final Pool and Prepool sheets if there are more libraries to add--</v>
      </c>
      <c r="B35">
        <f>INPUTS!F39</f>
        <v>0</v>
      </c>
      <c r="C35">
        <f>INPUTS!G39</f>
        <v>0</v>
      </c>
      <c r="D35" t="str">
        <f>INPUTS!M39&amp;":"&amp;INPUTS!A39</f>
        <v>:pooling sheets end here -- add more rows/copy formulas down in Final Pool and Prepool sheets if there are more libraries to add</v>
      </c>
      <c r="E35">
        <f>INPUTS!B39</f>
        <v>0</v>
      </c>
    </row>
    <row r="36" spans="1:5" x14ac:dyDescent="0.3">
      <c r="A36" t="str">
        <f>INPUTS!A40&amp;"-"&amp;INPUTS!M40&amp;"-"&amp;INPUTS!B40</f>
        <v>--</v>
      </c>
      <c r="B36">
        <f>INPUTS!F40</f>
        <v>0</v>
      </c>
      <c r="C36">
        <f>INPUTS!G40</f>
        <v>0</v>
      </c>
      <c r="D36" t="str">
        <f>INPUTS!M40&amp;":"&amp;INPUTS!A40</f>
        <v>:</v>
      </c>
      <c r="E36">
        <f>INPUTS!B40</f>
        <v>0</v>
      </c>
    </row>
    <row r="37" spans="1:5" x14ac:dyDescent="0.3">
      <c r="A37" t="str">
        <f>INPUTS!A41&amp;"-"&amp;INPUTS!M41&amp;"-"&amp;INPUTS!B41</f>
        <v>--</v>
      </c>
      <c r="B37">
        <f>INPUTS!F41</f>
        <v>0</v>
      </c>
      <c r="C37">
        <f>INPUTS!G41</f>
        <v>0</v>
      </c>
      <c r="D37" t="str">
        <f>INPUTS!M41&amp;":"&amp;INPUTS!A41</f>
        <v>:</v>
      </c>
      <c r="E37">
        <f>INPUTS!B41</f>
        <v>0</v>
      </c>
    </row>
    <row r="38" spans="1:5" x14ac:dyDescent="0.3">
      <c r="A38" t="str">
        <f>INPUTS!A42&amp;"-"&amp;INPUTS!M42&amp;"-"&amp;INPUTS!B42</f>
        <v>--</v>
      </c>
      <c r="B38">
        <f>INPUTS!F42</f>
        <v>0</v>
      </c>
      <c r="C38">
        <f>INPUTS!G42</f>
        <v>0</v>
      </c>
      <c r="D38" t="str">
        <f>INPUTS!M42&amp;":"&amp;INPUTS!A42</f>
        <v>:</v>
      </c>
      <c r="E38">
        <f>INPUTS!B42</f>
        <v>0</v>
      </c>
    </row>
    <row r="39" spans="1:5" x14ac:dyDescent="0.3">
      <c r="A39" t="str">
        <f>INPUTS!A43&amp;"-"&amp;INPUTS!M43&amp;"-"&amp;INPUTS!B43</f>
        <v>--</v>
      </c>
      <c r="B39">
        <f>INPUTS!F43</f>
        <v>0</v>
      </c>
      <c r="C39">
        <f>INPUTS!G43</f>
        <v>0</v>
      </c>
      <c r="D39" t="str">
        <f>INPUTS!M43&amp;":"&amp;INPUTS!A43</f>
        <v>:</v>
      </c>
      <c r="E39">
        <f>INPUTS!B43</f>
        <v>0</v>
      </c>
    </row>
    <row r="40" spans="1:5" x14ac:dyDescent="0.3">
      <c r="A40" t="str">
        <f>INPUTS!A44&amp;"-"&amp;INPUTS!M44&amp;"-"&amp;INPUTS!B44</f>
        <v>--</v>
      </c>
      <c r="B40">
        <f>INPUTS!F44</f>
        <v>0</v>
      </c>
      <c r="C40">
        <f>INPUTS!G44</f>
        <v>0</v>
      </c>
      <c r="D40" t="str">
        <f>INPUTS!M44&amp;":"&amp;INPUTS!A44</f>
        <v>:</v>
      </c>
      <c r="E40">
        <f>INPUTS!B44</f>
        <v>0</v>
      </c>
    </row>
    <row r="41" spans="1:5" x14ac:dyDescent="0.3">
      <c r="A41" t="str">
        <f>INPUTS!A45&amp;"-"&amp;INPUTS!M45&amp;"-"&amp;INPUTS!B45</f>
        <v>--</v>
      </c>
      <c r="B41">
        <f>INPUTS!F45</f>
        <v>0</v>
      </c>
      <c r="C41">
        <f>INPUTS!G45</f>
        <v>0</v>
      </c>
      <c r="D41" t="str">
        <f>INPUTS!M45&amp;":"&amp;INPUTS!A45</f>
        <v>:</v>
      </c>
      <c r="E41">
        <f>INPUTS!B45</f>
        <v>0</v>
      </c>
    </row>
    <row r="42" spans="1:5" x14ac:dyDescent="0.3">
      <c r="A42" t="str">
        <f>INPUTS!A46&amp;"-"&amp;INPUTS!M46&amp;"-"&amp;INPUTS!B46</f>
        <v>--</v>
      </c>
      <c r="B42">
        <f>INPUTS!F46</f>
        <v>0</v>
      </c>
      <c r="C42">
        <f>INPUTS!G46</f>
        <v>0</v>
      </c>
      <c r="D42" t="str">
        <f>INPUTS!M46&amp;":"&amp;INPUTS!A46</f>
        <v>:</v>
      </c>
      <c r="E42">
        <f>INPUTS!B46</f>
        <v>0</v>
      </c>
    </row>
    <row r="43" spans="1:5" x14ac:dyDescent="0.3">
      <c r="A43" t="str">
        <f>INPUTS!A47&amp;"-"&amp;INPUTS!M47&amp;"-"&amp;INPUTS!B47</f>
        <v>--</v>
      </c>
      <c r="B43">
        <f>INPUTS!F47</f>
        <v>0</v>
      </c>
      <c r="C43">
        <f>INPUTS!G47</f>
        <v>0</v>
      </c>
      <c r="D43" t="str">
        <f>INPUTS!M47&amp;":"&amp;INPUTS!A47</f>
        <v>:</v>
      </c>
      <c r="E43">
        <f>INPUTS!B47</f>
        <v>0</v>
      </c>
    </row>
    <row r="44" spans="1:5" x14ac:dyDescent="0.3">
      <c r="A44" t="str">
        <f>INPUTS!A48&amp;"-"&amp;INPUTS!M48&amp;"-"&amp;INPUTS!B48</f>
        <v>--</v>
      </c>
      <c r="B44">
        <f>INPUTS!F48</f>
        <v>0</v>
      </c>
      <c r="C44">
        <f>INPUTS!G48</f>
        <v>0</v>
      </c>
      <c r="D44" t="str">
        <f>INPUTS!M48&amp;":"&amp;INPUTS!A48</f>
        <v>:</v>
      </c>
      <c r="E44">
        <f>INPUTS!B48</f>
        <v>0</v>
      </c>
    </row>
    <row r="45" spans="1:5" x14ac:dyDescent="0.3">
      <c r="A45" t="str">
        <f>INPUTS!A49&amp;"-"&amp;INPUTS!M49&amp;"-"&amp;INPUTS!B49</f>
        <v>--</v>
      </c>
      <c r="B45">
        <f>INPUTS!F49</f>
        <v>0</v>
      </c>
      <c r="C45">
        <f>INPUTS!G49</f>
        <v>0</v>
      </c>
      <c r="D45" t="str">
        <f>INPUTS!M49&amp;":"&amp;INPUTS!A49</f>
        <v>:</v>
      </c>
      <c r="E45">
        <f>INPUTS!B49</f>
        <v>0</v>
      </c>
    </row>
    <row r="46" spans="1:5" x14ac:dyDescent="0.3">
      <c r="A46" t="str">
        <f>INPUTS!A50&amp;"-"&amp;INPUTS!M50&amp;"-"&amp;INPUTS!B50</f>
        <v>--</v>
      </c>
      <c r="B46">
        <f>INPUTS!F50</f>
        <v>0</v>
      </c>
      <c r="C46">
        <f>INPUTS!G50</f>
        <v>0</v>
      </c>
      <c r="D46" t="str">
        <f>INPUTS!M50&amp;":"&amp;INPUTS!A50</f>
        <v>:</v>
      </c>
      <c r="E46">
        <f>INPUTS!B50</f>
        <v>0</v>
      </c>
    </row>
    <row r="47" spans="1:5" x14ac:dyDescent="0.3">
      <c r="A47" t="str">
        <f>INPUTS!A51&amp;"-"&amp;INPUTS!M51&amp;"-"&amp;INPUTS!B51</f>
        <v>--</v>
      </c>
      <c r="B47">
        <f>INPUTS!F51</f>
        <v>0</v>
      </c>
      <c r="C47">
        <f>INPUTS!G51</f>
        <v>0</v>
      </c>
      <c r="D47" t="str">
        <f>INPUTS!M51&amp;":"&amp;INPUTS!A51</f>
        <v>:</v>
      </c>
      <c r="E47">
        <f>INPUTS!B51</f>
        <v>0</v>
      </c>
    </row>
    <row r="48" spans="1:5" x14ac:dyDescent="0.3">
      <c r="A48" t="str">
        <f>INPUTS!A52&amp;"-"&amp;INPUTS!M52&amp;"-"&amp;INPUTS!B52</f>
        <v>--</v>
      </c>
      <c r="B48">
        <f>INPUTS!F52</f>
        <v>0</v>
      </c>
      <c r="C48">
        <f>INPUTS!G52</f>
        <v>0</v>
      </c>
      <c r="D48" t="str">
        <f>INPUTS!M52&amp;":"&amp;INPUTS!A52</f>
        <v>:</v>
      </c>
      <c r="E48">
        <f>INPUTS!B52</f>
        <v>0</v>
      </c>
    </row>
    <row r="49" spans="1:5" x14ac:dyDescent="0.3">
      <c r="A49" t="str">
        <f>INPUTS!A53&amp;"-"&amp;INPUTS!M53&amp;"-"&amp;INPUTS!B53</f>
        <v>--</v>
      </c>
      <c r="B49">
        <f>INPUTS!F53</f>
        <v>0</v>
      </c>
      <c r="C49">
        <f>INPUTS!G53</f>
        <v>0</v>
      </c>
      <c r="D49" t="str">
        <f>INPUTS!M53&amp;":"&amp;INPUTS!A53</f>
        <v>:</v>
      </c>
      <c r="E49">
        <f>INPUTS!B53</f>
        <v>0</v>
      </c>
    </row>
    <row r="50" spans="1:5" x14ac:dyDescent="0.3">
      <c r="A50" t="str">
        <f>INPUTS!A54&amp;"-"&amp;INPUTS!M54&amp;"-"&amp;INPUTS!B54</f>
        <v>--</v>
      </c>
      <c r="B50">
        <f>INPUTS!F54</f>
        <v>0</v>
      </c>
      <c r="C50">
        <f>INPUTS!G54</f>
        <v>0</v>
      </c>
      <c r="D50" t="str">
        <f>INPUTS!M54&amp;":"&amp;INPUTS!A54</f>
        <v>:</v>
      </c>
      <c r="E50">
        <f>INPUTS!B54</f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BAD56-EF51-4BB0-B5D9-66ECB7EE60BB}">
  <dimension ref="A1:I69"/>
  <sheetViews>
    <sheetView workbookViewId="0">
      <selection activeCell="B8" sqref="B8"/>
    </sheetView>
  </sheetViews>
  <sheetFormatPr defaultColWidth="8.77734375" defaultRowHeight="15.05" x14ac:dyDescent="0.3"/>
  <cols>
    <col min="1" max="1" width="35.44140625" customWidth="1"/>
    <col min="2" max="2" width="35.77734375" bestFit="1" customWidth="1"/>
    <col min="3" max="3" width="32" bestFit="1" customWidth="1"/>
    <col min="4" max="4" width="64.44140625" bestFit="1" customWidth="1"/>
    <col min="5" max="5" width="11.21875" bestFit="1" customWidth="1"/>
    <col min="6" max="6" width="11" bestFit="1" customWidth="1"/>
    <col min="7" max="7" width="11" customWidth="1"/>
    <col min="9" max="9" width="48.5546875" bestFit="1" customWidth="1"/>
  </cols>
  <sheetData>
    <row r="1" spans="1:9" ht="15.65" thickBot="1" x14ac:dyDescent="0.35">
      <c r="A1" s="235" t="s">
        <v>91</v>
      </c>
      <c r="B1" s="235"/>
      <c r="C1" s="1" t="s">
        <v>92</v>
      </c>
      <c r="D1" s="173"/>
      <c r="H1" s="7" t="s">
        <v>925</v>
      </c>
    </row>
    <row r="2" spans="1:9" ht="15.65" thickBot="1" x14ac:dyDescent="0.35">
      <c r="A2" s="1" t="s">
        <v>93</v>
      </c>
      <c r="B2" s="174" t="s">
        <v>94</v>
      </c>
      <c r="C2" s="175" t="s">
        <v>95</v>
      </c>
      <c r="D2" s="176"/>
      <c r="H2" s="207">
        <f>COUNTA(INPUTS!B6:B69)</f>
        <v>12</v>
      </c>
      <c r="I2" s="210" t="s">
        <v>921</v>
      </c>
    </row>
    <row r="3" spans="1:9" ht="15.65" thickBot="1" x14ac:dyDescent="0.35">
      <c r="A3" s="1" t="s">
        <v>96</v>
      </c>
      <c r="B3" s="174"/>
      <c r="D3" t="s">
        <v>97</v>
      </c>
      <c r="H3" s="208">
        <f>COUNTIF(D5:D68,"&lt;&gt;0")</f>
        <v>12</v>
      </c>
      <c r="I3" s="211" t="s">
        <v>922</v>
      </c>
    </row>
    <row r="4" spans="1:9" ht="15.65" thickBot="1" x14ac:dyDescent="0.35">
      <c r="A4" s="1" t="s">
        <v>98</v>
      </c>
      <c r="B4" s="174" t="s">
        <v>508</v>
      </c>
      <c r="D4" s="177" t="s">
        <v>99</v>
      </c>
      <c r="E4" s="177" t="s">
        <v>100</v>
      </c>
      <c r="F4" s="177" t="s">
        <v>101</v>
      </c>
      <c r="G4" s="11"/>
      <c r="H4" s="208">
        <f>COUNTA(E5:E68)-COUNTBLANK(E5:E68)</f>
        <v>12</v>
      </c>
      <c r="I4" s="211" t="s">
        <v>924</v>
      </c>
    </row>
    <row r="5" spans="1:9" ht="15.65" thickBot="1" x14ac:dyDescent="0.35">
      <c r="D5" s="178" t="str">
        <f>INPUTS!B6</f>
        <v>EF19</v>
      </c>
      <c r="E5" s="178" t="str">
        <f>IF($D5=0,"",VLOOKUP(INPUTS!$F6,UDIs!$A:$C,2,FALSE))</f>
        <v>AAAGATCG</v>
      </c>
      <c r="F5" s="178" t="str">
        <f>IF($D5=0,"",VLOOKUP(INPUTS!$F6,UDIs!$A:$C,3,FALSE))</f>
        <v>GTTGCCTT</v>
      </c>
      <c r="G5" s="104"/>
      <c r="H5" s="209">
        <f>COUNTA(F5:F68)-COUNTBLANK(F5:F68)</f>
        <v>12</v>
      </c>
      <c r="I5" s="212" t="s">
        <v>923</v>
      </c>
    </row>
    <row r="6" spans="1:9" ht="15.65" thickBot="1" x14ac:dyDescent="0.35">
      <c r="A6" s="236" t="s">
        <v>105</v>
      </c>
      <c r="B6" s="236"/>
      <c r="D6" s="178" t="str">
        <f>INPUTS!B7</f>
        <v>EF20</v>
      </c>
      <c r="E6" s="178" t="str">
        <f>IF($D6=0,"",VLOOKUP(INPUTS!$F7,UDIs!$A:$C,2,FALSE))</f>
        <v>GTGAGCTA</v>
      </c>
      <c r="F6" s="178" t="str">
        <f>IF($D6=0,"",VLOOKUP(INPUTS!$F7,UDIs!$A:$C,3,FALSE))</f>
        <v>CCAATGAA</v>
      </c>
      <c r="G6" s="104"/>
    </row>
    <row r="7" spans="1:9" ht="15.65" thickBot="1" x14ac:dyDescent="0.35">
      <c r="A7" s="1" t="s">
        <v>109</v>
      </c>
      <c r="B7" s="174" t="s">
        <v>110</v>
      </c>
      <c r="C7" t="s">
        <v>111</v>
      </c>
      <c r="D7" s="178" t="str">
        <f>INPUTS!B8</f>
        <v>EF21</v>
      </c>
      <c r="E7" s="178" t="str">
        <f>IF($D7=0,"",VLOOKUP(INPUTS!$F8,UDIs!$A:$C,2,FALSE))</f>
        <v>AACGCGGG</v>
      </c>
      <c r="F7" s="178" t="str">
        <f>IF($D7=0,"",VLOOKUP(INPUTS!$F8,UDIs!$A:$C,3,FALSE))</f>
        <v>ATCAGTTG</v>
      </c>
      <c r="G7" s="104"/>
    </row>
    <row r="8" spans="1:9" ht="15.65" thickBot="1" x14ac:dyDescent="0.35">
      <c r="A8" s="1" t="s">
        <v>115</v>
      </c>
      <c r="B8" s="182" t="str">
        <f>'Final Pool'!U23&amp;"_"&amp;'Final Pool'!U22</f>
        <v>_</v>
      </c>
      <c r="C8" t="s">
        <v>111</v>
      </c>
      <c r="D8" s="178" t="str">
        <f>INPUTS!B9</f>
        <v>EF22</v>
      </c>
      <c r="E8" s="178" t="str">
        <f>IF($D8=0,"",VLOOKUP(INPUTS!$F9,UDIs!$A:$C,2,FALSE))</f>
        <v>CTTGTGCT</v>
      </c>
      <c r="F8" s="178" t="str">
        <f>IF($D8=0,"",VLOOKUP(INPUTS!$F9,UDIs!$A:$C,3,FALSE))</f>
        <v>ACATACAC</v>
      </c>
      <c r="G8" s="104"/>
    </row>
    <row r="9" spans="1:9" ht="15.65" thickBot="1" x14ac:dyDescent="0.35">
      <c r="A9" s="1" t="s">
        <v>119</v>
      </c>
      <c r="B9" s="174"/>
      <c r="C9" s="7" t="s">
        <v>120</v>
      </c>
      <c r="D9" s="178" t="str">
        <f>INPUTS!B10</f>
        <v>EF23</v>
      </c>
      <c r="E9" s="178" t="str">
        <f>IF($D9=0,"",VLOOKUP(INPUTS!$F10,UDIs!$A:$C,2,FALSE))</f>
        <v>GCTTACCC</v>
      </c>
      <c r="F9" s="178" t="str">
        <f>IF($D9=0,"",VLOOKUP(INPUTS!$F10,UDIs!$A:$C,3,FALSE))</f>
        <v>CTCCATAT</v>
      </c>
      <c r="G9" s="104"/>
    </row>
    <row r="10" spans="1:9" ht="15.65" thickBot="1" x14ac:dyDescent="0.35">
      <c r="A10" s="1" t="s">
        <v>17</v>
      </c>
      <c r="B10" s="174">
        <f>IF('Final Pool'!$AA$30="no",'Final Pool'!AA27,'Final Pool'!AA34)</f>
        <v>0</v>
      </c>
      <c r="D10" s="178" t="str">
        <f>INPUTS!B11</f>
        <v>EF24</v>
      </c>
      <c r="E10" s="178" t="str">
        <f>IF($D10=0,"",VLOOKUP(INPUTS!$F11,UDIs!$A:$C,2,FALSE))</f>
        <v>AGTAAACA</v>
      </c>
      <c r="F10" s="178" t="str">
        <f>IF($D10=0,"",VLOOKUP(INPUTS!$F11,UDIs!$A:$C,3,FALSE))</f>
        <v>GCTTAAGT</v>
      </c>
      <c r="G10" s="104"/>
    </row>
    <row r="11" spans="1:9" ht="15.65" thickBot="1" x14ac:dyDescent="0.35">
      <c r="A11" s="1" t="s">
        <v>68</v>
      </c>
      <c r="B11" s="174">
        <f>IF('Final Pool'!$AA$30="no",'Final Pool'!AA24,'Final Pool'!AA33-2)</f>
        <v>42</v>
      </c>
      <c r="D11" s="178" t="str">
        <f>INPUTS!B12</f>
        <v>EF25</v>
      </c>
      <c r="E11" s="178" t="str">
        <f>IF($D11=0,"",VLOOKUP(INPUTS!$F12,UDIs!$A:$C,2,FALSE))</f>
        <v>AGTAGTAA</v>
      </c>
      <c r="F11" s="178" t="str">
        <f>IF($D11=0,"",VLOOKUP(INPUTS!$F12,UDIs!$A:$C,3,FALSE))</f>
        <v>TATCAGTA</v>
      </c>
      <c r="G11" s="104"/>
    </row>
    <row r="12" spans="1:9" x14ac:dyDescent="0.3">
      <c r="C12" s="179"/>
      <c r="D12" s="178" t="str">
        <f>INPUTS!B13</f>
        <v>EF26</v>
      </c>
      <c r="E12" s="178" t="str">
        <f>IF($D12=0,"",VLOOKUP(INPUTS!$F13,UDIs!$A:$C,2,FALSE))</f>
        <v>TACTAAGG</v>
      </c>
      <c r="F12" s="178" t="str">
        <f>IF($D12=0,"",VLOOKUP(INPUTS!$F13,UDIs!$A:$C,3,FALSE))</f>
        <v>CGAGTCAG</v>
      </c>
      <c r="G12" s="104"/>
    </row>
    <row r="13" spans="1:9" ht="15.65" thickBot="1" x14ac:dyDescent="0.35">
      <c r="A13" s="11" t="s">
        <v>133</v>
      </c>
      <c r="B13" s="180" t="s">
        <v>134</v>
      </c>
      <c r="D13" s="178" t="str">
        <f>INPUTS!B14</f>
        <v>EF27</v>
      </c>
      <c r="E13" s="178" t="str">
        <f>IF($D13=0,"",VLOOKUP(INPUTS!$F14,UDIs!$A:$C,2,FALSE))</f>
        <v>CATTCGGA</v>
      </c>
      <c r="F13" s="178" t="str">
        <f>IF($D13=0,"",VLOOKUP(INPUTS!$F14,UDIs!$A:$C,3,FALSE))</f>
        <v>TTTCCATC</v>
      </c>
      <c r="G13" s="104"/>
    </row>
    <row r="14" spans="1:9" ht="15.65" thickBot="1" x14ac:dyDescent="0.35">
      <c r="A14" s="11" t="s">
        <v>138</v>
      </c>
      <c r="B14" s="181" t="s">
        <v>139</v>
      </c>
      <c r="D14" s="178" t="str">
        <f>INPUTS!B15</f>
        <v>EF28</v>
      </c>
      <c r="E14" s="178" t="str">
        <f>IF($D14=0,"",VLOOKUP(INPUTS!$F15,UDIs!$A:$C,2,FALSE))</f>
        <v>AATCGTCA</v>
      </c>
      <c r="F14" s="178" t="str">
        <f>IF($D14=0,"",VLOOKUP(INPUTS!$F15,UDIs!$A:$C,3,FALSE))</f>
        <v>CTTTAACT</v>
      </c>
      <c r="G14" s="104"/>
    </row>
    <row r="15" spans="1:9" ht="15.65" thickBot="1" x14ac:dyDescent="0.35">
      <c r="A15" s="11" t="s">
        <v>143</v>
      </c>
      <c r="B15" s="180" t="s">
        <v>144</v>
      </c>
      <c r="D15" s="178" t="str">
        <f>INPUTS!B16</f>
        <v>EF29</v>
      </c>
      <c r="E15" s="178" t="str">
        <f>IF($D15=0,"",VLOOKUP(INPUTS!$F16,UDIs!$A:$C,2,FALSE))</f>
        <v>GCTGATTT</v>
      </c>
      <c r="F15" s="178" t="str">
        <f>IF($D15=0,"",VLOOKUP(INPUTS!$F16,UDIs!$A:$C,3,FALSE))</f>
        <v>GCCTCTAT</v>
      </c>
      <c r="G15" s="104"/>
    </row>
    <row r="16" spans="1:9" ht="15.65" thickBot="1" x14ac:dyDescent="0.35">
      <c r="A16" s="11" t="s">
        <v>148</v>
      </c>
      <c r="B16" s="181" t="s">
        <v>139</v>
      </c>
      <c r="D16" s="178" t="str">
        <f>INPUTS!B17</f>
        <v>EF30</v>
      </c>
      <c r="E16" s="178" t="str">
        <f>IF($D16=0,"",VLOOKUP(INPUTS!$F17,UDIs!$A:$C,2,FALSE))</f>
        <v>CGCGAAAG</v>
      </c>
      <c r="F16" s="178" t="str">
        <f>IF($D16=0,"",VLOOKUP(INPUTS!$F17,UDIs!$A:$C,3,FALSE))</f>
        <v>CCTCCTTT</v>
      </c>
      <c r="G16" s="104"/>
    </row>
    <row r="17" spans="1:7" x14ac:dyDescent="0.3">
      <c r="B17" s="180" t="s">
        <v>152</v>
      </c>
      <c r="D17" s="178">
        <f>INPUTS!B18</f>
        <v>0</v>
      </c>
      <c r="E17" s="178" t="str">
        <f>IF($D17=0,"",VLOOKUP(INPUTS!$F18,UDIs!$A:$C,2,FALSE))</f>
        <v/>
      </c>
      <c r="F17" s="178" t="str">
        <f>IF($D17=0,"",VLOOKUP(INPUTS!$F18,UDIs!$A:$C,3,FALSE))</f>
        <v/>
      </c>
      <c r="G17" s="104"/>
    </row>
    <row r="18" spans="1:7" ht="15.65" thickBot="1" x14ac:dyDescent="0.35">
      <c r="A18" s="186" t="s">
        <v>156</v>
      </c>
      <c r="B18" s="186"/>
      <c r="D18" s="178">
        <f>INPUTS!B19</f>
        <v>0</v>
      </c>
      <c r="E18" s="178" t="str">
        <f>IF($D18=0,"",VLOOKUP(INPUTS!$F19,UDIs!$A:$C,2,FALSE))</f>
        <v/>
      </c>
      <c r="F18" s="178" t="str">
        <f>IF($D18=0,"",VLOOKUP(INPUTS!$F19,UDIs!$A:$C,3,FALSE))</f>
        <v/>
      </c>
      <c r="G18" s="104"/>
    </row>
    <row r="19" spans="1:7" ht="15.65" thickBot="1" x14ac:dyDescent="0.35">
      <c r="A19" s="186" t="s">
        <v>160</v>
      </c>
      <c r="B19" s="181" t="s">
        <v>161</v>
      </c>
      <c r="D19" s="178">
        <f>INPUTS!B20</f>
        <v>0</v>
      </c>
      <c r="E19" s="178" t="str">
        <f>IF($D19=0,"",VLOOKUP(INPUTS!$F20,UDIs!$A:$C,2,FALSE))</f>
        <v/>
      </c>
      <c r="F19" s="178" t="str">
        <f>IF($D19=0,"",VLOOKUP(INPUTS!$F20,UDIs!$A:$C,3,FALSE))</f>
        <v/>
      </c>
      <c r="G19" s="104"/>
    </row>
    <row r="20" spans="1:7" x14ac:dyDescent="0.3">
      <c r="D20" s="178">
        <f>INPUTS!B21</f>
        <v>0</v>
      </c>
      <c r="E20" s="178" t="str">
        <f>IF($D20=0,"",VLOOKUP(INPUTS!$F21,UDIs!$A:$C,2,FALSE))</f>
        <v/>
      </c>
      <c r="F20" s="178" t="str">
        <f>IF($D20=0,"",VLOOKUP(INPUTS!$F21,UDIs!$A:$C,3,FALSE))</f>
        <v/>
      </c>
      <c r="G20" s="104"/>
    </row>
    <row r="21" spans="1:7" x14ac:dyDescent="0.3">
      <c r="D21" s="178">
        <f>INPUTS!B22</f>
        <v>0</v>
      </c>
      <c r="E21" s="178" t="str">
        <f>IF($D21=0,"",VLOOKUP(INPUTS!$F22,UDIs!$A:$C,2,FALSE))</f>
        <v/>
      </c>
      <c r="F21" s="178" t="str">
        <f>IF($D21=0,"",VLOOKUP(INPUTS!$F22,UDIs!$A:$C,3,FALSE))</f>
        <v/>
      </c>
      <c r="G21" s="104"/>
    </row>
    <row r="22" spans="1:7" ht="15.05" customHeight="1" thickBot="1" x14ac:dyDescent="0.35">
      <c r="B22" s="11" t="s">
        <v>171</v>
      </c>
      <c r="D22" s="178">
        <f>INPUTS!B23</f>
        <v>0</v>
      </c>
      <c r="E22" s="178" t="str">
        <f>IF($D22=0,"",VLOOKUP(INPUTS!$F23,UDIs!$A:$C,2,FALSE))</f>
        <v/>
      </c>
      <c r="F22" s="178" t="str">
        <f>IF($D22=0,"",VLOOKUP(INPUTS!$F23,UDIs!$A:$C,3,FALSE))</f>
        <v/>
      </c>
      <c r="G22" s="104"/>
    </row>
    <row r="23" spans="1:7" ht="15.65" thickBot="1" x14ac:dyDescent="0.35">
      <c r="A23" s="11" t="s">
        <v>175</v>
      </c>
      <c r="B23" s="181" t="s">
        <v>94</v>
      </c>
      <c r="D23" s="178">
        <f>INPUTS!B24</f>
        <v>0</v>
      </c>
      <c r="E23" s="178" t="str">
        <f>IF($D23=0,"",VLOOKUP(INPUTS!$F24,UDIs!$A:$C,2,FALSE))</f>
        <v/>
      </c>
      <c r="F23" s="178" t="str">
        <f>IF($D23=0,"",VLOOKUP(INPUTS!$F24,UDIs!$A:$C,3,FALSE))</f>
        <v/>
      </c>
      <c r="G23" s="104"/>
    </row>
    <row r="24" spans="1:7" x14ac:dyDescent="0.3">
      <c r="A24" s="11" t="s">
        <v>179</v>
      </c>
      <c r="B24" s="237" t="s">
        <v>180</v>
      </c>
      <c r="D24" s="178">
        <f>INPUTS!B25</f>
        <v>0</v>
      </c>
      <c r="E24" s="178" t="str">
        <f>IF($D24=0,"",VLOOKUP(INPUTS!$F25,UDIs!$A:$C,2,FALSE))</f>
        <v/>
      </c>
      <c r="F24" s="178" t="str">
        <f>IF($D24=0,"",VLOOKUP(INPUTS!$F25,UDIs!$A:$C,3,FALSE))</f>
        <v/>
      </c>
      <c r="G24" s="104"/>
    </row>
    <row r="25" spans="1:7" x14ac:dyDescent="0.3">
      <c r="B25" s="238"/>
      <c r="D25" s="178">
        <f>INPUTS!B26</f>
        <v>0</v>
      </c>
      <c r="E25" s="178" t="str">
        <f>IF($D25=0,"",VLOOKUP(INPUTS!$F26,UDIs!$A:$C,2,FALSE))</f>
        <v/>
      </c>
      <c r="F25" s="178" t="str">
        <f>IF($D25=0,"",VLOOKUP(INPUTS!$F26,UDIs!$A:$C,3,FALSE))</f>
        <v/>
      </c>
      <c r="G25" s="104"/>
    </row>
    <row r="26" spans="1:7" x14ac:dyDescent="0.3">
      <c r="B26" s="238"/>
      <c r="D26" s="178">
        <f>INPUTS!B27</f>
        <v>0</v>
      </c>
      <c r="E26" s="178" t="str">
        <f>IF($D26=0,"",VLOOKUP(INPUTS!$F27,UDIs!$A:$C,2,FALSE))</f>
        <v/>
      </c>
      <c r="F26" s="178" t="str">
        <f>IF($D26=0,"",VLOOKUP(INPUTS!$F27,UDIs!$A:$C,3,FALSE))</f>
        <v/>
      </c>
      <c r="G26" s="104"/>
    </row>
    <row r="27" spans="1:7" x14ac:dyDescent="0.3">
      <c r="D27" s="178">
        <f>INPUTS!B28</f>
        <v>0</v>
      </c>
      <c r="E27" s="178" t="str">
        <f>IF($D27=0,"",VLOOKUP(INPUTS!$F28,UDIs!$A:$C,2,FALSE))</f>
        <v/>
      </c>
      <c r="F27" s="178" t="str">
        <f>IF($D27=0,"",VLOOKUP(INPUTS!$F28,UDIs!$A:$C,3,FALSE))</f>
        <v/>
      </c>
      <c r="G27" s="104"/>
    </row>
    <row r="28" spans="1:7" x14ac:dyDescent="0.3">
      <c r="D28" s="178">
        <f>INPUTS!B29</f>
        <v>0</v>
      </c>
      <c r="E28" s="178" t="str">
        <f>IF($D28=0,"",VLOOKUP(INPUTS!$F29,UDIs!$A:$C,2,FALSE))</f>
        <v/>
      </c>
      <c r="F28" s="178" t="str">
        <f>IF($D28=0,"",VLOOKUP(INPUTS!$F29,UDIs!$A:$C,3,FALSE))</f>
        <v/>
      </c>
      <c r="G28" s="104"/>
    </row>
    <row r="29" spans="1:7" x14ac:dyDescent="0.3">
      <c r="D29" s="178">
        <f>INPUTS!B30</f>
        <v>0</v>
      </c>
      <c r="E29" s="178" t="str">
        <f>IF($D29=0,"",VLOOKUP(INPUTS!$F30,UDIs!$A:$C,2,FALSE))</f>
        <v/>
      </c>
      <c r="F29" s="178" t="str">
        <f>IF($D29=0,"",VLOOKUP(INPUTS!$F30,UDIs!$A:$C,3,FALSE))</f>
        <v/>
      </c>
      <c r="G29" s="104"/>
    </row>
    <row r="30" spans="1:7" x14ac:dyDescent="0.3">
      <c r="D30" s="178">
        <f>INPUTS!B31</f>
        <v>0</v>
      </c>
      <c r="E30" s="178" t="str">
        <f>IF($D30=0,"",VLOOKUP(INPUTS!$F31,UDIs!$A:$C,2,FALSE))</f>
        <v/>
      </c>
      <c r="F30" s="178" t="str">
        <f>IF($D30=0,"",VLOOKUP(INPUTS!$F31,UDIs!$A:$C,3,FALSE))</f>
        <v/>
      </c>
      <c r="G30" s="104"/>
    </row>
    <row r="31" spans="1:7" x14ac:dyDescent="0.3">
      <c r="D31" s="178">
        <f>INPUTS!B32</f>
        <v>0</v>
      </c>
      <c r="E31" s="178" t="str">
        <f>IF($D31=0,"",VLOOKUP(INPUTS!$F32,UDIs!$A:$C,2,FALSE))</f>
        <v/>
      </c>
      <c r="F31" s="178" t="str">
        <f>IF($D31=0,"",VLOOKUP(INPUTS!$F32,UDIs!$A:$C,3,FALSE))</f>
        <v/>
      </c>
      <c r="G31" s="104"/>
    </row>
    <row r="32" spans="1:7" x14ac:dyDescent="0.3">
      <c r="D32" s="178">
        <f>INPUTS!B33</f>
        <v>0</v>
      </c>
      <c r="E32" s="178" t="str">
        <f>IF($D32=0,"",VLOOKUP(INPUTS!$F33,UDIs!$A:$C,2,FALSE))</f>
        <v/>
      </c>
      <c r="F32" s="178" t="str">
        <f>IF($D32=0,"",VLOOKUP(INPUTS!$F33,UDIs!$A:$C,3,FALSE))</f>
        <v/>
      </c>
      <c r="G32" s="104"/>
    </row>
    <row r="33" spans="4:7" x14ac:dyDescent="0.3">
      <c r="D33" s="178">
        <f>INPUTS!B34</f>
        <v>0</v>
      </c>
      <c r="E33" s="178" t="str">
        <f>IF($D33=0,"",VLOOKUP(INPUTS!$F34,UDIs!$A:$C,2,FALSE))</f>
        <v/>
      </c>
      <c r="F33" s="178" t="str">
        <f>IF($D33=0,"",VLOOKUP(INPUTS!$F34,UDIs!$A:$C,3,FALSE))</f>
        <v/>
      </c>
      <c r="G33" s="104"/>
    </row>
    <row r="34" spans="4:7" x14ac:dyDescent="0.3">
      <c r="D34" s="178">
        <f>INPUTS!B35</f>
        <v>0</v>
      </c>
      <c r="E34" s="178" t="str">
        <f>IF($D34=0,"",VLOOKUP(INPUTS!$F35,UDIs!$A:$C,2,FALSE))</f>
        <v/>
      </c>
      <c r="F34" s="178" t="str">
        <f>IF($D34=0,"",VLOOKUP(INPUTS!$F35,UDIs!$A:$C,3,FALSE))</f>
        <v/>
      </c>
      <c r="G34" s="104"/>
    </row>
    <row r="35" spans="4:7" x14ac:dyDescent="0.3">
      <c r="D35" s="178">
        <f>INPUTS!B36</f>
        <v>0</v>
      </c>
      <c r="E35" s="178" t="str">
        <f>IF($D35=0,"",VLOOKUP(INPUTS!$F36,UDIs!$A:$C,2,FALSE))</f>
        <v/>
      </c>
      <c r="F35" s="178" t="str">
        <f>IF($D35=0,"",VLOOKUP(INPUTS!$F36,UDIs!$A:$C,3,FALSE))</f>
        <v/>
      </c>
      <c r="G35" s="104"/>
    </row>
    <row r="36" spans="4:7" x14ac:dyDescent="0.3">
      <c r="D36" s="178">
        <f>INPUTS!B37</f>
        <v>0</v>
      </c>
      <c r="E36" s="178" t="str">
        <f>IF($D36=0,"",VLOOKUP(INPUTS!$F37,UDIs!$A:$C,2,FALSE))</f>
        <v/>
      </c>
      <c r="F36" s="178" t="str">
        <f>IF($D36=0,"",VLOOKUP(INPUTS!$F37,UDIs!$A:$C,3,FALSE))</f>
        <v/>
      </c>
      <c r="G36" s="104"/>
    </row>
    <row r="37" spans="4:7" x14ac:dyDescent="0.3">
      <c r="D37" s="178">
        <f>INPUTS!B38</f>
        <v>0</v>
      </c>
      <c r="E37" s="178" t="str">
        <f>IF($D37=0,"",VLOOKUP(INPUTS!$F38,UDIs!$A:$C,2,FALSE))</f>
        <v/>
      </c>
      <c r="F37" s="178" t="str">
        <f>IF($D37=0,"",VLOOKUP(INPUTS!$F38,UDIs!$A:$C,3,FALSE))</f>
        <v/>
      </c>
      <c r="G37" s="104"/>
    </row>
    <row r="38" spans="4:7" x14ac:dyDescent="0.3">
      <c r="D38" s="178">
        <f>INPUTS!B39</f>
        <v>0</v>
      </c>
      <c r="E38" s="178" t="str">
        <f>IF($D38=0,"",VLOOKUP(INPUTS!$F39,UDIs!$A:$C,2,FALSE))</f>
        <v/>
      </c>
      <c r="F38" s="178" t="str">
        <f>IF($D38=0,"",VLOOKUP(INPUTS!$F39,UDIs!$A:$C,3,FALSE))</f>
        <v/>
      </c>
      <c r="G38" s="104"/>
    </row>
    <row r="39" spans="4:7" x14ac:dyDescent="0.3">
      <c r="D39" s="178">
        <f>INPUTS!B40</f>
        <v>0</v>
      </c>
      <c r="E39" s="178" t="str">
        <f>IF($D39=0,"",VLOOKUP(INPUTS!$F40,UDIs!$A:$C,2,FALSE))</f>
        <v/>
      </c>
      <c r="F39" s="178" t="str">
        <f>IF($D39=0,"",VLOOKUP(INPUTS!$F40,UDIs!$A:$C,3,FALSE))</f>
        <v/>
      </c>
      <c r="G39" s="104"/>
    </row>
    <row r="40" spans="4:7" x14ac:dyDescent="0.3">
      <c r="D40" s="178">
        <f>INPUTS!B41</f>
        <v>0</v>
      </c>
      <c r="E40" s="178" t="str">
        <f>IF($D40=0,"",VLOOKUP(INPUTS!$F41,UDIs!$A:$C,2,FALSE))</f>
        <v/>
      </c>
      <c r="F40" s="178" t="str">
        <f>IF($D40=0,"",VLOOKUP(INPUTS!$F41,UDIs!$A:$C,3,FALSE))</f>
        <v/>
      </c>
      <c r="G40" s="104"/>
    </row>
    <row r="41" spans="4:7" x14ac:dyDescent="0.3">
      <c r="D41" s="178">
        <f>INPUTS!B42</f>
        <v>0</v>
      </c>
      <c r="E41" s="178" t="str">
        <f>IF($D41=0,"",VLOOKUP(INPUTS!$F42,UDIs!$A:$C,2,FALSE))</f>
        <v/>
      </c>
      <c r="F41" s="178" t="str">
        <f>IF($D41=0,"",VLOOKUP(INPUTS!$F42,UDIs!$A:$C,3,FALSE))</f>
        <v/>
      </c>
      <c r="G41" s="104"/>
    </row>
    <row r="42" spans="4:7" x14ac:dyDescent="0.3">
      <c r="D42" s="178">
        <f>INPUTS!B43</f>
        <v>0</v>
      </c>
      <c r="E42" s="178" t="str">
        <f>IF($D42=0,"",VLOOKUP(INPUTS!$F43,UDIs!$A:$C,2,FALSE))</f>
        <v/>
      </c>
      <c r="F42" s="178" t="str">
        <f>IF($D42=0,"",VLOOKUP(INPUTS!$F43,UDIs!$A:$C,3,FALSE))</f>
        <v/>
      </c>
      <c r="G42" s="104"/>
    </row>
    <row r="43" spans="4:7" x14ac:dyDescent="0.3">
      <c r="D43" s="178">
        <f>INPUTS!B44</f>
        <v>0</v>
      </c>
      <c r="E43" s="178" t="str">
        <f>IF($D43=0,"",VLOOKUP(INPUTS!$F44,UDIs!$A:$C,2,FALSE))</f>
        <v/>
      </c>
      <c r="F43" s="178" t="str">
        <f>IF($D43=0,"",VLOOKUP(INPUTS!$F44,UDIs!$A:$C,3,FALSE))</f>
        <v/>
      </c>
      <c r="G43" s="104"/>
    </row>
    <row r="44" spans="4:7" x14ac:dyDescent="0.3">
      <c r="D44" s="178">
        <f>INPUTS!B45</f>
        <v>0</v>
      </c>
      <c r="E44" s="178" t="str">
        <f>IF($D44=0,"",VLOOKUP(INPUTS!$F45,UDIs!$A:$C,2,FALSE))</f>
        <v/>
      </c>
      <c r="F44" s="178" t="str">
        <f>IF($D44=0,"",VLOOKUP(INPUTS!$F45,UDIs!$A:$C,3,FALSE))</f>
        <v/>
      </c>
      <c r="G44" s="104"/>
    </row>
    <row r="45" spans="4:7" x14ac:dyDescent="0.3">
      <c r="D45" s="178">
        <f>INPUTS!B46</f>
        <v>0</v>
      </c>
      <c r="E45" s="178" t="str">
        <f>IF($D45=0,"",VLOOKUP(INPUTS!$F46,UDIs!$A:$C,2,FALSE))</f>
        <v/>
      </c>
      <c r="F45" s="178" t="str">
        <f>IF($D45=0,"",VLOOKUP(INPUTS!$F46,UDIs!$A:$C,3,FALSE))</f>
        <v/>
      </c>
      <c r="G45" s="104"/>
    </row>
    <row r="46" spans="4:7" x14ac:dyDescent="0.3">
      <c r="D46" s="178">
        <f>INPUTS!B47</f>
        <v>0</v>
      </c>
      <c r="E46" s="178" t="str">
        <f>IF($D46=0,"",VLOOKUP(INPUTS!$F47,UDIs!$A:$C,2,FALSE))</f>
        <v/>
      </c>
      <c r="F46" s="178" t="str">
        <f>IF($D46=0,"",VLOOKUP(INPUTS!$F47,UDIs!$A:$C,3,FALSE))</f>
        <v/>
      </c>
      <c r="G46" s="104"/>
    </row>
    <row r="47" spans="4:7" x14ac:dyDescent="0.3">
      <c r="D47" s="178">
        <f>INPUTS!B48</f>
        <v>0</v>
      </c>
      <c r="E47" s="178" t="str">
        <f>IF($D47=0,"",VLOOKUP(INPUTS!$F48,UDIs!$A:$C,2,FALSE))</f>
        <v/>
      </c>
      <c r="F47" s="178" t="str">
        <f>IF($D47=0,"",VLOOKUP(INPUTS!$F48,UDIs!$A:$C,3,FALSE))</f>
        <v/>
      </c>
      <c r="G47" s="104"/>
    </row>
    <row r="48" spans="4:7" x14ac:dyDescent="0.3">
      <c r="D48" s="178">
        <f>INPUTS!B49</f>
        <v>0</v>
      </c>
      <c r="E48" s="178" t="str">
        <f>IF($D48=0,"",VLOOKUP(INPUTS!$F49,UDIs!$A:$C,2,FALSE))</f>
        <v/>
      </c>
      <c r="F48" s="178" t="str">
        <f>IF($D48=0,"",VLOOKUP(INPUTS!$F49,UDIs!$A:$C,3,FALSE))</f>
        <v/>
      </c>
      <c r="G48" s="104"/>
    </row>
    <row r="49" spans="4:7" x14ac:dyDescent="0.3">
      <c r="D49" s="178">
        <f>INPUTS!B50</f>
        <v>0</v>
      </c>
      <c r="E49" s="178" t="str">
        <f>IF($D49=0,"",VLOOKUP(INPUTS!$F50,UDIs!$A:$C,2,FALSE))</f>
        <v/>
      </c>
      <c r="F49" s="178" t="str">
        <f>IF($D49=0,"",VLOOKUP(INPUTS!$F50,UDIs!$A:$C,3,FALSE))</f>
        <v/>
      </c>
      <c r="G49" s="104"/>
    </row>
    <row r="50" spans="4:7" x14ac:dyDescent="0.3">
      <c r="D50" s="178">
        <f>INPUTS!B51</f>
        <v>0</v>
      </c>
      <c r="E50" s="178" t="str">
        <f>IF($D50=0,"",VLOOKUP(INPUTS!$F51,UDIs!$A:$C,2,FALSE))</f>
        <v/>
      </c>
      <c r="F50" s="178" t="str">
        <f>IF($D50=0,"",VLOOKUP(INPUTS!$F51,UDIs!$A:$C,3,FALSE))</f>
        <v/>
      </c>
      <c r="G50" s="104"/>
    </row>
    <row r="51" spans="4:7" x14ac:dyDescent="0.3">
      <c r="D51" s="178">
        <f>INPUTS!B52</f>
        <v>0</v>
      </c>
      <c r="E51" s="178" t="str">
        <f>IF($D51=0,"",VLOOKUP(INPUTS!$F52,UDIs!$A:$C,2,FALSE))</f>
        <v/>
      </c>
      <c r="F51" s="178" t="str">
        <f>IF($D51=0,"",VLOOKUP(INPUTS!$F52,UDIs!$A:$C,3,FALSE))</f>
        <v/>
      </c>
      <c r="G51" s="104"/>
    </row>
    <row r="52" spans="4:7" x14ac:dyDescent="0.3">
      <c r="D52" s="178">
        <f>INPUTS!B53</f>
        <v>0</v>
      </c>
      <c r="E52" s="178" t="str">
        <f>IF($D52=0,"",VLOOKUP(INPUTS!$F53,UDIs!$A:$C,2,FALSE))</f>
        <v/>
      </c>
      <c r="F52" s="178" t="str">
        <f>IF($D52=0,"",VLOOKUP(INPUTS!$F53,UDIs!$A:$C,3,FALSE))</f>
        <v/>
      </c>
      <c r="G52" s="104"/>
    </row>
    <row r="53" spans="4:7" x14ac:dyDescent="0.3">
      <c r="D53" s="178">
        <f>INPUTS!B54</f>
        <v>0</v>
      </c>
      <c r="E53" s="178" t="str">
        <f>IF($D53=0,"",VLOOKUP(INPUTS!$F54,UDIs!$A:$C,2,FALSE))</f>
        <v/>
      </c>
      <c r="F53" s="178" t="str">
        <f>IF($D53=0,"",VLOOKUP(INPUTS!$F54,UDIs!$A:$C,3,FALSE))</f>
        <v/>
      </c>
      <c r="G53" s="104"/>
    </row>
    <row r="54" spans="4:7" x14ac:dyDescent="0.3">
      <c r="D54" s="178">
        <f>INPUTS!B55</f>
        <v>0</v>
      </c>
      <c r="E54" s="178" t="str">
        <f>IF($D54=0,"",VLOOKUP(INPUTS!$F55,UDIs!$A:$C,2,FALSE))</f>
        <v/>
      </c>
      <c r="F54" s="178" t="str">
        <f>IF($D54=0,"",VLOOKUP(INPUTS!$F55,UDIs!$A:$C,3,FALSE))</f>
        <v/>
      </c>
      <c r="G54" s="104"/>
    </row>
    <row r="55" spans="4:7" x14ac:dyDescent="0.3">
      <c r="D55" s="178">
        <f>INPUTS!B56</f>
        <v>0</v>
      </c>
      <c r="E55" s="178" t="str">
        <f>IF($D55=0,"",VLOOKUP(INPUTS!$F56,UDIs!$A:$C,2,FALSE))</f>
        <v/>
      </c>
      <c r="F55" s="178" t="str">
        <f>IF($D55=0,"",VLOOKUP(INPUTS!$F56,UDIs!$A:$C,3,FALSE))</f>
        <v/>
      </c>
      <c r="G55" s="104"/>
    </row>
    <row r="56" spans="4:7" x14ac:dyDescent="0.3">
      <c r="D56" s="178">
        <f>INPUTS!B57</f>
        <v>0</v>
      </c>
      <c r="E56" s="178" t="str">
        <f>IF($D56=0,"",VLOOKUP(INPUTS!$F57,UDIs!$A:$C,2,FALSE))</f>
        <v/>
      </c>
      <c r="F56" s="178" t="str">
        <f>IF($D56=0,"",VLOOKUP(INPUTS!$F57,UDIs!$A:$C,3,FALSE))</f>
        <v/>
      </c>
      <c r="G56" s="104"/>
    </row>
    <row r="57" spans="4:7" x14ac:dyDescent="0.3">
      <c r="D57" s="178">
        <f>INPUTS!B58</f>
        <v>0</v>
      </c>
      <c r="E57" s="178" t="str">
        <f>IF($D57=0,"",VLOOKUP(INPUTS!$F58,UDIs!$A:$C,2,FALSE))</f>
        <v/>
      </c>
      <c r="F57" s="178" t="str">
        <f>IF($D57=0,"",VLOOKUP(INPUTS!$F58,UDIs!$A:$C,3,FALSE))</f>
        <v/>
      </c>
      <c r="G57" s="104"/>
    </row>
    <row r="58" spans="4:7" x14ac:dyDescent="0.3">
      <c r="D58" s="178">
        <f>INPUTS!B59</f>
        <v>0</v>
      </c>
      <c r="E58" s="178" t="str">
        <f>IF($D58=0,"",VLOOKUP(INPUTS!$F59,UDIs!$A:$C,2,FALSE))</f>
        <v/>
      </c>
      <c r="F58" s="178" t="str">
        <f>IF($D58=0,"",VLOOKUP(INPUTS!$F59,UDIs!$A:$C,3,FALSE))</f>
        <v/>
      </c>
      <c r="G58" s="104"/>
    </row>
    <row r="59" spans="4:7" x14ac:dyDescent="0.3">
      <c r="D59" s="178">
        <f>INPUTS!B60</f>
        <v>0</v>
      </c>
      <c r="E59" s="178" t="str">
        <f>IF($D59=0,"",VLOOKUP(INPUTS!$F60,UDIs!$A:$C,2,FALSE))</f>
        <v/>
      </c>
      <c r="F59" s="178" t="str">
        <f>IF($D59=0,"",VLOOKUP(INPUTS!$F60,UDIs!$A:$C,3,FALSE))</f>
        <v/>
      </c>
      <c r="G59" s="104"/>
    </row>
    <row r="60" spans="4:7" x14ac:dyDescent="0.3">
      <c r="D60" s="178">
        <f>INPUTS!B61</f>
        <v>0</v>
      </c>
      <c r="E60" s="178" t="str">
        <f>IF($D60=0,"",VLOOKUP(INPUTS!$F61,UDIs!$A:$C,2,FALSE))</f>
        <v/>
      </c>
      <c r="F60" s="178" t="str">
        <f>IF($D60=0,"",VLOOKUP(INPUTS!$F61,UDIs!$A:$C,3,FALSE))</f>
        <v/>
      </c>
      <c r="G60" s="104"/>
    </row>
    <row r="61" spans="4:7" x14ac:dyDescent="0.3">
      <c r="D61" s="178">
        <f>INPUTS!B62</f>
        <v>0</v>
      </c>
      <c r="E61" s="178" t="str">
        <f>IF($D61=0,"",VLOOKUP(INPUTS!$F62,UDIs!$A:$C,2,FALSE))</f>
        <v/>
      </c>
      <c r="F61" s="178" t="str">
        <f>IF($D61=0,"",VLOOKUP(INPUTS!$F62,UDIs!$A:$C,3,FALSE))</f>
        <v/>
      </c>
      <c r="G61" s="104"/>
    </row>
    <row r="62" spans="4:7" x14ac:dyDescent="0.3">
      <c r="D62" s="178">
        <f>INPUTS!B63</f>
        <v>0</v>
      </c>
      <c r="E62" s="178" t="str">
        <f>IF($D62=0,"",VLOOKUP(INPUTS!$F63,UDIs!$A:$C,2,FALSE))</f>
        <v/>
      </c>
      <c r="F62" s="178" t="str">
        <f>IF($D62=0,"",VLOOKUP(INPUTS!$F63,UDIs!$A:$C,3,FALSE))</f>
        <v/>
      </c>
      <c r="G62" s="104"/>
    </row>
    <row r="63" spans="4:7" x14ac:dyDescent="0.3">
      <c r="D63" s="178">
        <f>INPUTS!B64</f>
        <v>0</v>
      </c>
      <c r="E63" s="178" t="str">
        <f>IF($D63=0,"",VLOOKUP(INPUTS!$F64,UDIs!$A:$C,2,FALSE))</f>
        <v/>
      </c>
      <c r="F63" s="178" t="str">
        <f>IF($D63=0,"",VLOOKUP(INPUTS!$F64,UDIs!$A:$C,3,FALSE))</f>
        <v/>
      </c>
      <c r="G63" s="104"/>
    </row>
    <row r="64" spans="4:7" x14ac:dyDescent="0.3">
      <c r="D64" s="178">
        <f>INPUTS!B65</f>
        <v>0</v>
      </c>
      <c r="E64" s="178" t="str">
        <f>IF($D64=0,"",VLOOKUP(INPUTS!$F65,UDIs!$A:$C,2,FALSE))</f>
        <v/>
      </c>
      <c r="F64" s="178" t="str">
        <f>IF($D64=0,"",VLOOKUP(INPUTS!$F65,UDIs!$A:$C,3,FALSE))</f>
        <v/>
      </c>
      <c r="G64" s="104"/>
    </row>
    <row r="65" spans="4:7" x14ac:dyDescent="0.3">
      <c r="D65" s="178">
        <f>INPUTS!B66</f>
        <v>0</v>
      </c>
      <c r="E65" s="178" t="str">
        <f>IF($D65=0,"",VLOOKUP(INPUTS!$F66,UDIs!$A:$C,2,FALSE))</f>
        <v/>
      </c>
      <c r="F65" s="178" t="str">
        <f>IF($D65=0,"",VLOOKUP(INPUTS!$F66,UDIs!$A:$C,3,FALSE))</f>
        <v/>
      </c>
      <c r="G65" s="104"/>
    </row>
    <row r="66" spans="4:7" x14ac:dyDescent="0.3">
      <c r="D66" s="178">
        <f>INPUTS!B67</f>
        <v>0</v>
      </c>
      <c r="E66" s="178" t="str">
        <f>IF($D66=0,"",VLOOKUP(INPUTS!$F67,UDIs!$A:$C,2,FALSE))</f>
        <v/>
      </c>
      <c r="F66" s="178" t="str">
        <f>IF($D66=0,"",VLOOKUP(INPUTS!$F67,UDIs!$A:$C,3,FALSE))</f>
        <v/>
      </c>
      <c r="G66" s="104"/>
    </row>
    <row r="67" spans="4:7" x14ac:dyDescent="0.3">
      <c r="D67" s="178">
        <f>INPUTS!B68</f>
        <v>0</v>
      </c>
      <c r="E67" s="178" t="str">
        <f>IF($D67=0,"",VLOOKUP(INPUTS!$F68,UDIs!$A:$C,2,FALSE))</f>
        <v/>
      </c>
      <c r="F67" s="178" t="str">
        <f>IF($D67=0,"",VLOOKUP(INPUTS!$F68,UDIs!$A:$C,3,FALSE))</f>
        <v/>
      </c>
      <c r="G67" s="104"/>
    </row>
    <row r="68" spans="4:7" x14ac:dyDescent="0.3">
      <c r="D68" s="178">
        <f>INPUTS!B69</f>
        <v>0</v>
      </c>
      <c r="E68" s="178" t="str">
        <f>IF($D68=0,"",VLOOKUP(INPUTS!$F69,UDIs!$A:$C,2,FALSE))</f>
        <v/>
      </c>
      <c r="F68" s="178" t="str">
        <f>IF($D68=0,"",VLOOKUP(INPUTS!$F69,UDIs!$A:$C,3,FALSE))</f>
        <v/>
      </c>
      <c r="G68" s="104"/>
    </row>
    <row r="69" spans="4:7" x14ac:dyDescent="0.3">
      <c r="D69" s="178" t="str">
        <f>INPUTS!B70</f>
        <v>END</v>
      </c>
      <c r="E69" s="178"/>
      <c r="F69" s="178"/>
      <c r="G69" s="104"/>
    </row>
  </sheetData>
  <mergeCells count="3">
    <mergeCell ref="A1:B1"/>
    <mergeCell ref="A6:B6"/>
    <mergeCell ref="B24:B26"/>
  </mergeCells>
  <conditionalFormatting sqref="B2:B4">
    <cfRule type="cellIs" dxfId="3" priority="2" operator="equal">
      <formula>"[fill in info]"</formula>
    </cfRule>
  </conditionalFormatting>
  <conditionalFormatting sqref="B7:B11">
    <cfRule type="cellIs" dxfId="2" priority="1" operator="equal">
      <formula>"[fill in info]"</formula>
    </cfRule>
  </conditionalFormatting>
  <conditionalFormatting sqref="B14 B16">
    <cfRule type="cellIs" dxfId="1" priority="3" operator="equal">
      <formula>"[NovoGene Only]"</formula>
    </cfRule>
  </conditionalFormatting>
  <conditionalFormatting sqref="B19">
    <cfRule type="cellIs" dxfId="0" priority="4" operator="equal">
      <formula>"WriteinFlowcellID"</formula>
    </cfRule>
  </conditionalFormatting>
  <dataValidations count="1">
    <dataValidation type="list" allowBlank="1" showInputMessage="1" showErrorMessage="1" sqref="B23" xr:uid="{94DACBA8-8EAB-4BC0-83FC-3EDC2A93270B}">
      <formula1>"Yes,No"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95CC0-1F95-4AB3-95F8-306A5DC5BBF0}">
  <dimension ref="A1:D292"/>
  <sheetViews>
    <sheetView workbookViewId="0">
      <pane ySplit="2" topLeftCell="A3" activePane="bottomLeft" state="frozen"/>
      <selection pane="bottomLeft" activeCell="A97" sqref="A97:A292"/>
    </sheetView>
  </sheetViews>
  <sheetFormatPr defaultColWidth="8.77734375" defaultRowHeight="15.05" x14ac:dyDescent="0.3"/>
  <cols>
    <col min="2" max="2" width="13.44140625" customWidth="1"/>
    <col min="3" max="3" width="14.21875" customWidth="1"/>
    <col min="4" max="4" width="12.77734375" customWidth="1"/>
  </cols>
  <sheetData>
    <row r="1" spans="1:4" x14ac:dyDescent="0.3">
      <c r="B1" t="s">
        <v>919</v>
      </c>
      <c r="C1" t="s">
        <v>919</v>
      </c>
      <c r="D1" t="s">
        <v>920</v>
      </c>
    </row>
    <row r="2" spans="1:4" ht="30.05" x14ac:dyDescent="0.3">
      <c r="A2" s="206" t="s">
        <v>524</v>
      </c>
      <c r="B2" s="206" t="s">
        <v>525</v>
      </c>
      <c r="C2" s="206" t="s">
        <v>526</v>
      </c>
      <c r="D2" s="206" t="s">
        <v>527</v>
      </c>
    </row>
    <row r="3" spans="1:4" x14ac:dyDescent="0.3">
      <c r="A3" t="s">
        <v>102</v>
      </c>
      <c r="B3" s="205" t="s">
        <v>103</v>
      </c>
      <c r="C3" s="205" t="s">
        <v>104</v>
      </c>
      <c r="D3" s="205" t="s">
        <v>824</v>
      </c>
    </row>
    <row r="4" spans="1:4" x14ac:dyDescent="0.3">
      <c r="A4" t="s">
        <v>106</v>
      </c>
      <c r="B4" s="205" t="s">
        <v>107</v>
      </c>
      <c r="C4" s="205" t="s">
        <v>108</v>
      </c>
      <c r="D4" s="205" t="s">
        <v>825</v>
      </c>
    </row>
    <row r="5" spans="1:4" x14ac:dyDescent="0.3">
      <c r="A5" t="s">
        <v>112</v>
      </c>
      <c r="B5" s="205" t="s">
        <v>113</v>
      </c>
      <c r="C5" s="205" t="s">
        <v>114</v>
      </c>
      <c r="D5" s="205" t="s">
        <v>826</v>
      </c>
    </row>
    <row r="6" spans="1:4" x14ac:dyDescent="0.3">
      <c r="A6" t="s">
        <v>116</v>
      </c>
      <c r="B6" s="205" t="s">
        <v>117</v>
      </c>
      <c r="C6" s="205" t="s">
        <v>118</v>
      </c>
      <c r="D6" s="205" t="s">
        <v>827</v>
      </c>
    </row>
    <row r="7" spans="1:4" x14ac:dyDescent="0.3">
      <c r="A7" t="s">
        <v>121</v>
      </c>
      <c r="B7" s="205" t="s">
        <v>122</v>
      </c>
      <c r="C7" s="205" t="s">
        <v>123</v>
      </c>
      <c r="D7" s="205" t="s">
        <v>828</v>
      </c>
    </row>
    <row r="8" spans="1:4" x14ac:dyDescent="0.3">
      <c r="A8" t="s">
        <v>124</v>
      </c>
      <c r="B8" s="205" t="s">
        <v>125</v>
      </c>
      <c r="C8" s="205" t="s">
        <v>126</v>
      </c>
      <c r="D8" s="205" t="s">
        <v>829</v>
      </c>
    </row>
    <row r="9" spans="1:4" x14ac:dyDescent="0.3">
      <c r="A9" t="s">
        <v>127</v>
      </c>
      <c r="B9" s="205" t="s">
        <v>128</v>
      </c>
      <c r="C9" s="205" t="s">
        <v>129</v>
      </c>
      <c r="D9" s="205" t="s">
        <v>830</v>
      </c>
    </row>
    <row r="10" spans="1:4" x14ac:dyDescent="0.3">
      <c r="A10" t="s">
        <v>130</v>
      </c>
      <c r="B10" s="205" t="s">
        <v>131</v>
      </c>
      <c r="C10" s="205" t="s">
        <v>132</v>
      </c>
      <c r="D10" s="205" t="s">
        <v>831</v>
      </c>
    </row>
    <row r="11" spans="1:4" x14ac:dyDescent="0.3">
      <c r="A11" t="s">
        <v>135</v>
      </c>
      <c r="B11" s="205" t="s">
        <v>136</v>
      </c>
      <c r="C11" s="205" t="s">
        <v>137</v>
      </c>
      <c r="D11" s="205" t="s">
        <v>832</v>
      </c>
    </row>
    <row r="12" spans="1:4" x14ac:dyDescent="0.3">
      <c r="A12" t="s">
        <v>140</v>
      </c>
      <c r="B12" s="205" t="s">
        <v>141</v>
      </c>
      <c r="C12" s="205" t="s">
        <v>142</v>
      </c>
      <c r="D12" s="205" t="s">
        <v>833</v>
      </c>
    </row>
    <row r="13" spans="1:4" x14ac:dyDescent="0.3">
      <c r="A13" t="s">
        <v>145</v>
      </c>
      <c r="B13" s="205" t="s">
        <v>146</v>
      </c>
      <c r="C13" s="205" t="s">
        <v>147</v>
      </c>
      <c r="D13" s="205" t="s">
        <v>834</v>
      </c>
    </row>
    <row r="14" spans="1:4" x14ac:dyDescent="0.3">
      <c r="A14" t="s">
        <v>149</v>
      </c>
      <c r="B14" s="205" t="s">
        <v>150</v>
      </c>
      <c r="C14" s="205" t="s">
        <v>151</v>
      </c>
      <c r="D14" s="205" t="s">
        <v>835</v>
      </c>
    </row>
    <row r="15" spans="1:4" x14ac:dyDescent="0.3">
      <c r="A15" t="s">
        <v>153</v>
      </c>
      <c r="B15" s="205" t="s">
        <v>154</v>
      </c>
      <c r="C15" s="205" t="s">
        <v>155</v>
      </c>
      <c r="D15" s="205" t="s">
        <v>836</v>
      </c>
    </row>
    <row r="16" spans="1:4" x14ac:dyDescent="0.3">
      <c r="A16" t="s">
        <v>157</v>
      </c>
      <c r="B16" s="205" t="s">
        <v>158</v>
      </c>
      <c r="C16" s="205" t="s">
        <v>159</v>
      </c>
      <c r="D16" s="205" t="s">
        <v>837</v>
      </c>
    </row>
    <row r="17" spans="1:4" x14ac:dyDescent="0.3">
      <c r="A17" t="s">
        <v>162</v>
      </c>
      <c r="B17" s="205" t="s">
        <v>163</v>
      </c>
      <c r="C17" s="205" t="s">
        <v>164</v>
      </c>
      <c r="D17" s="205" t="s">
        <v>838</v>
      </c>
    </row>
    <row r="18" spans="1:4" x14ac:dyDescent="0.3">
      <c r="A18" t="s">
        <v>165</v>
      </c>
      <c r="B18" s="205" t="s">
        <v>166</v>
      </c>
      <c r="C18" s="205" t="s">
        <v>167</v>
      </c>
      <c r="D18" s="205" t="s">
        <v>839</v>
      </c>
    </row>
    <row r="19" spans="1:4" x14ac:dyDescent="0.3">
      <c r="A19" t="s">
        <v>168</v>
      </c>
      <c r="B19" s="205" t="s">
        <v>169</v>
      </c>
      <c r="C19" s="205" t="s">
        <v>170</v>
      </c>
      <c r="D19" s="205" t="s">
        <v>840</v>
      </c>
    </row>
    <row r="20" spans="1:4" x14ac:dyDescent="0.3">
      <c r="A20" t="s">
        <v>172</v>
      </c>
      <c r="B20" s="205" t="s">
        <v>173</v>
      </c>
      <c r="C20" s="205" t="s">
        <v>174</v>
      </c>
      <c r="D20" s="205" t="s">
        <v>841</v>
      </c>
    </row>
    <row r="21" spans="1:4" x14ac:dyDescent="0.3">
      <c r="A21" t="s">
        <v>176</v>
      </c>
      <c r="B21" s="205" t="s">
        <v>177</v>
      </c>
      <c r="C21" s="205" t="s">
        <v>178</v>
      </c>
      <c r="D21" s="205" t="s">
        <v>842</v>
      </c>
    </row>
    <row r="22" spans="1:4" x14ac:dyDescent="0.3">
      <c r="A22" t="s">
        <v>181</v>
      </c>
      <c r="B22" s="205" t="s">
        <v>182</v>
      </c>
      <c r="C22" s="205" t="s">
        <v>183</v>
      </c>
      <c r="D22" s="205" t="s">
        <v>843</v>
      </c>
    </row>
    <row r="23" spans="1:4" x14ac:dyDescent="0.3">
      <c r="A23" t="s">
        <v>184</v>
      </c>
      <c r="B23" s="205" t="s">
        <v>185</v>
      </c>
      <c r="C23" s="205" t="s">
        <v>186</v>
      </c>
      <c r="D23" s="205" t="s">
        <v>844</v>
      </c>
    </row>
    <row r="24" spans="1:4" x14ac:dyDescent="0.3">
      <c r="A24" t="s">
        <v>187</v>
      </c>
      <c r="B24" s="205" t="s">
        <v>188</v>
      </c>
      <c r="C24" s="205" t="s">
        <v>189</v>
      </c>
      <c r="D24" s="205" t="s">
        <v>845</v>
      </c>
    </row>
    <row r="25" spans="1:4" x14ac:dyDescent="0.3">
      <c r="A25" t="s">
        <v>190</v>
      </c>
      <c r="B25" s="205" t="s">
        <v>191</v>
      </c>
      <c r="C25" s="205" t="s">
        <v>192</v>
      </c>
      <c r="D25" s="205" t="s">
        <v>846</v>
      </c>
    </row>
    <row r="26" spans="1:4" x14ac:dyDescent="0.3">
      <c r="A26" t="s">
        <v>193</v>
      </c>
      <c r="B26" s="205" t="s">
        <v>194</v>
      </c>
      <c r="C26" s="205" t="s">
        <v>195</v>
      </c>
      <c r="D26" s="205" t="s">
        <v>847</v>
      </c>
    </row>
    <row r="27" spans="1:4" x14ac:dyDescent="0.3">
      <c r="A27" t="s">
        <v>196</v>
      </c>
      <c r="B27" s="205" t="s">
        <v>197</v>
      </c>
      <c r="C27" s="205" t="s">
        <v>198</v>
      </c>
      <c r="D27" s="205" t="s">
        <v>848</v>
      </c>
    </row>
    <row r="28" spans="1:4" x14ac:dyDescent="0.3">
      <c r="A28" t="s">
        <v>199</v>
      </c>
      <c r="B28" s="205" t="s">
        <v>200</v>
      </c>
      <c r="C28" s="205" t="s">
        <v>201</v>
      </c>
      <c r="D28" s="205" t="s">
        <v>849</v>
      </c>
    </row>
    <row r="29" spans="1:4" x14ac:dyDescent="0.3">
      <c r="A29" t="s">
        <v>202</v>
      </c>
      <c r="B29" s="205" t="s">
        <v>203</v>
      </c>
      <c r="C29" s="205" t="s">
        <v>204</v>
      </c>
      <c r="D29" s="205" t="s">
        <v>850</v>
      </c>
    </row>
    <row r="30" spans="1:4" x14ac:dyDescent="0.3">
      <c r="A30" t="s">
        <v>205</v>
      </c>
      <c r="B30" s="205" t="s">
        <v>206</v>
      </c>
      <c r="C30" s="205" t="s">
        <v>207</v>
      </c>
      <c r="D30" s="205" t="s">
        <v>851</v>
      </c>
    </row>
    <row r="31" spans="1:4" x14ac:dyDescent="0.3">
      <c r="A31" t="s">
        <v>208</v>
      </c>
      <c r="B31" s="205" t="s">
        <v>209</v>
      </c>
      <c r="C31" s="205" t="s">
        <v>210</v>
      </c>
      <c r="D31" s="205" t="s">
        <v>852</v>
      </c>
    </row>
    <row r="32" spans="1:4" x14ac:dyDescent="0.3">
      <c r="A32" t="s">
        <v>211</v>
      </c>
      <c r="B32" s="205" t="s">
        <v>212</v>
      </c>
      <c r="C32" s="205" t="s">
        <v>213</v>
      </c>
      <c r="D32" s="205" t="s">
        <v>853</v>
      </c>
    </row>
    <row r="33" spans="1:4" x14ac:dyDescent="0.3">
      <c r="A33" t="s">
        <v>214</v>
      </c>
      <c r="B33" s="205" t="s">
        <v>215</v>
      </c>
      <c r="C33" s="205" t="s">
        <v>216</v>
      </c>
      <c r="D33" s="205" t="s">
        <v>854</v>
      </c>
    </row>
    <row r="34" spans="1:4" x14ac:dyDescent="0.3">
      <c r="A34" t="s">
        <v>217</v>
      </c>
      <c r="B34" s="205" t="s">
        <v>218</v>
      </c>
      <c r="C34" s="205" t="s">
        <v>219</v>
      </c>
      <c r="D34" s="205" t="s">
        <v>855</v>
      </c>
    </row>
    <row r="35" spans="1:4" x14ac:dyDescent="0.3">
      <c r="A35" t="s">
        <v>220</v>
      </c>
      <c r="B35" s="205" t="s">
        <v>221</v>
      </c>
      <c r="C35" s="205" t="s">
        <v>222</v>
      </c>
      <c r="D35" s="205" t="s">
        <v>856</v>
      </c>
    </row>
    <row r="36" spans="1:4" x14ac:dyDescent="0.3">
      <c r="A36" t="s">
        <v>223</v>
      </c>
      <c r="B36" s="205" t="s">
        <v>224</v>
      </c>
      <c r="C36" s="205" t="s">
        <v>225</v>
      </c>
      <c r="D36" s="205" t="s">
        <v>857</v>
      </c>
    </row>
    <row r="37" spans="1:4" x14ac:dyDescent="0.3">
      <c r="A37" t="s">
        <v>226</v>
      </c>
      <c r="B37" s="205" t="s">
        <v>227</v>
      </c>
      <c r="C37" s="205" t="s">
        <v>228</v>
      </c>
      <c r="D37" s="205" t="s">
        <v>858</v>
      </c>
    </row>
    <row r="38" spans="1:4" x14ac:dyDescent="0.3">
      <c r="A38" t="s">
        <v>229</v>
      </c>
      <c r="B38" s="205" t="s">
        <v>230</v>
      </c>
      <c r="C38" s="205" t="s">
        <v>231</v>
      </c>
      <c r="D38" s="205" t="s">
        <v>859</v>
      </c>
    </row>
    <row r="39" spans="1:4" x14ac:dyDescent="0.3">
      <c r="A39" t="s">
        <v>232</v>
      </c>
      <c r="B39" s="205" t="s">
        <v>233</v>
      </c>
      <c r="C39" s="205" t="s">
        <v>234</v>
      </c>
      <c r="D39" s="205" t="s">
        <v>860</v>
      </c>
    </row>
    <row r="40" spans="1:4" x14ac:dyDescent="0.3">
      <c r="A40" t="s">
        <v>235</v>
      </c>
      <c r="B40" s="205" t="s">
        <v>236</v>
      </c>
      <c r="C40" s="205" t="s">
        <v>237</v>
      </c>
      <c r="D40" s="205" t="s">
        <v>861</v>
      </c>
    </row>
    <row r="41" spans="1:4" x14ac:dyDescent="0.3">
      <c r="A41" t="s">
        <v>238</v>
      </c>
      <c r="B41" s="205" t="s">
        <v>239</v>
      </c>
      <c r="C41" s="205" t="s">
        <v>240</v>
      </c>
      <c r="D41" s="205" t="s">
        <v>862</v>
      </c>
    </row>
    <row r="42" spans="1:4" x14ac:dyDescent="0.3">
      <c r="A42" t="s">
        <v>241</v>
      </c>
      <c r="B42" s="205" t="s">
        <v>242</v>
      </c>
      <c r="C42" s="205" t="s">
        <v>243</v>
      </c>
      <c r="D42" s="205" t="s">
        <v>863</v>
      </c>
    </row>
    <row r="43" spans="1:4" x14ac:dyDescent="0.3">
      <c r="A43" t="s">
        <v>244</v>
      </c>
      <c r="B43" s="205" t="s">
        <v>245</v>
      </c>
      <c r="C43" s="205" t="s">
        <v>246</v>
      </c>
      <c r="D43" s="205" t="s">
        <v>864</v>
      </c>
    </row>
    <row r="44" spans="1:4" x14ac:dyDescent="0.3">
      <c r="A44" t="s">
        <v>247</v>
      </c>
      <c r="B44" s="205" t="s">
        <v>248</v>
      </c>
      <c r="C44" s="205" t="s">
        <v>249</v>
      </c>
      <c r="D44" s="205" t="s">
        <v>865</v>
      </c>
    </row>
    <row r="45" spans="1:4" x14ac:dyDescent="0.3">
      <c r="A45" t="s">
        <v>250</v>
      </c>
      <c r="B45" s="205" t="s">
        <v>251</v>
      </c>
      <c r="C45" s="205" t="s">
        <v>252</v>
      </c>
      <c r="D45" s="205" t="s">
        <v>665</v>
      </c>
    </row>
    <row r="46" spans="1:4" x14ac:dyDescent="0.3">
      <c r="A46" t="s">
        <v>253</v>
      </c>
      <c r="B46" s="205" t="s">
        <v>254</v>
      </c>
      <c r="C46" s="205" t="s">
        <v>255</v>
      </c>
      <c r="D46" s="205" t="s">
        <v>866</v>
      </c>
    </row>
    <row r="47" spans="1:4" x14ac:dyDescent="0.3">
      <c r="A47" t="s">
        <v>256</v>
      </c>
      <c r="B47" s="205" t="s">
        <v>257</v>
      </c>
      <c r="C47" s="205" t="s">
        <v>258</v>
      </c>
      <c r="D47" s="205" t="s">
        <v>867</v>
      </c>
    </row>
    <row r="48" spans="1:4" x14ac:dyDescent="0.3">
      <c r="A48" t="s">
        <v>259</v>
      </c>
      <c r="B48" s="205" t="s">
        <v>260</v>
      </c>
      <c r="C48" s="205" t="s">
        <v>261</v>
      </c>
      <c r="D48" s="205" t="s">
        <v>868</v>
      </c>
    </row>
    <row r="49" spans="1:4" x14ac:dyDescent="0.3">
      <c r="A49" t="s">
        <v>262</v>
      </c>
      <c r="B49" s="205" t="s">
        <v>263</v>
      </c>
      <c r="C49" s="205" t="s">
        <v>264</v>
      </c>
      <c r="D49" s="205" t="s">
        <v>869</v>
      </c>
    </row>
    <row r="50" spans="1:4" x14ac:dyDescent="0.3">
      <c r="A50" t="s">
        <v>265</v>
      </c>
      <c r="B50" s="205" t="s">
        <v>266</v>
      </c>
      <c r="C50" s="205" t="s">
        <v>267</v>
      </c>
      <c r="D50" s="205" t="s">
        <v>870</v>
      </c>
    </row>
    <row r="51" spans="1:4" x14ac:dyDescent="0.3">
      <c r="A51" t="s">
        <v>268</v>
      </c>
      <c r="B51" s="205" t="s">
        <v>104</v>
      </c>
      <c r="C51" s="205" t="s">
        <v>103</v>
      </c>
      <c r="D51" s="205" t="s">
        <v>871</v>
      </c>
    </row>
    <row r="52" spans="1:4" x14ac:dyDescent="0.3">
      <c r="A52" t="s">
        <v>269</v>
      </c>
      <c r="B52" s="205" t="s">
        <v>108</v>
      </c>
      <c r="C52" s="205" t="s">
        <v>107</v>
      </c>
      <c r="D52" s="205" t="s">
        <v>872</v>
      </c>
    </row>
    <row r="53" spans="1:4" x14ac:dyDescent="0.3">
      <c r="A53" t="s">
        <v>270</v>
      </c>
      <c r="B53" s="205" t="s">
        <v>114</v>
      </c>
      <c r="C53" s="205" t="s">
        <v>113</v>
      </c>
      <c r="D53" s="205" t="s">
        <v>873</v>
      </c>
    </row>
    <row r="54" spans="1:4" x14ac:dyDescent="0.3">
      <c r="A54" t="s">
        <v>271</v>
      </c>
      <c r="B54" s="205" t="s">
        <v>118</v>
      </c>
      <c r="C54" s="205" t="s">
        <v>117</v>
      </c>
      <c r="D54" s="205" t="s">
        <v>874</v>
      </c>
    </row>
    <row r="55" spans="1:4" x14ac:dyDescent="0.3">
      <c r="A55" t="s">
        <v>272</v>
      </c>
      <c r="B55" s="205" t="s">
        <v>123</v>
      </c>
      <c r="C55" s="205" t="s">
        <v>122</v>
      </c>
      <c r="D55" s="205" t="s">
        <v>875</v>
      </c>
    </row>
    <row r="56" spans="1:4" x14ac:dyDescent="0.3">
      <c r="A56" t="s">
        <v>273</v>
      </c>
      <c r="B56" s="205" t="s">
        <v>126</v>
      </c>
      <c r="C56" s="205" t="s">
        <v>125</v>
      </c>
      <c r="D56" s="205" t="s">
        <v>876</v>
      </c>
    </row>
    <row r="57" spans="1:4" x14ac:dyDescent="0.3">
      <c r="A57" t="s">
        <v>274</v>
      </c>
      <c r="B57" s="205" t="s">
        <v>129</v>
      </c>
      <c r="C57" s="205" t="s">
        <v>128</v>
      </c>
      <c r="D57" s="205" t="s">
        <v>877</v>
      </c>
    </row>
    <row r="58" spans="1:4" x14ac:dyDescent="0.3">
      <c r="A58" t="s">
        <v>275</v>
      </c>
      <c r="B58" s="205" t="s">
        <v>132</v>
      </c>
      <c r="C58" s="205" t="s">
        <v>131</v>
      </c>
      <c r="D58" s="205" t="s">
        <v>878</v>
      </c>
    </row>
    <row r="59" spans="1:4" x14ac:dyDescent="0.3">
      <c r="A59" t="s">
        <v>276</v>
      </c>
      <c r="B59" s="205" t="s">
        <v>137</v>
      </c>
      <c r="C59" s="205" t="s">
        <v>136</v>
      </c>
      <c r="D59" s="205" t="s">
        <v>879</v>
      </c>
    </row>
    <row r="60" spans="1:4" x14ac:dyDescent="0.3">
      <c r="A60" t="s">
        <v>277</v>
      </c>
      <c r="B60" s="205" t="s">
        <v>142</v>
      </c>
      <c r="C60" s="205" t="s">
        <v>141</v>
      </c>
      <c r="D60" s="205" t="s">
        <v>880</v>
      </c>
    </row>
    <row r="61" spans="1:4" x14ac:dyDescent="0.3">
      <c r="A61" t="s">
        <v>278</v>
      </c>
      <c r="B61" s="205" t="s">
        <v>147</v>
      </c>
      <c r="C61" s="205" t="s">
        <v>146</v>
      </c>
      <c r="D61" s="205" t="s">
        <v>881</v>
      </c>
    </row>
    <row r="62" spans="1:4" x14ac:dyDescent="0.3">
      <c r="A62" t="s">
        <v>279</v>
      </c>
      <c r="B62" s="205" t="s">
        <v>151</v>
      </c>
      <c r="C62" s="205" t="s">
        <v>150</v>
      </c>
      <c r="D62" s="205" t="s">
        <v>882</v>
      </c>
    </row>
    <row r="63" spans="1:4" x14ac:dyDescent="0.3">
      <c r="A63" t="s">
        <v>280</v>
      </c>
      <c r="B63" s="205" t="s">
        <v>155</v>
      </c>
      <c r="C63" s="205" t="s">
        <v>154</v>
      </c>
      <c r="D63" s="205" t="s">
        <v>883</v>
      </c>
    </row>
    <row r="64" spans="1:4" x14ac:dyDescent="0.3">
      <c r="A64" t="s">
        <v>281</v>
      </c>
      <c r="B64" s="205" t="s">
        <v>159</v>
      </c>
      <c r="C64" s="205" t="s">
        <v>158</v>
      </c>
      <c r="D64" s="205" t="s">
        <v>884</v>
      </c>
    </row>
    <row r="65" spans="1:4" x14ac:dyDescent="0.3">
      <c r="A65" t="s">
        <v>282</v>
      </c>
      <c r="B65" s="205" t="s">
        <v>164</v>
      </c>
      <c r="C65" s="205" t="s">
        <v>163</v>
      </c>
      <c r="D65" s="205" t="s">
        <v>885</v>
      </c>
    </row>
    <row r="66" spans="1:4" x14ac:dyDescent="0.3">
      <c r="A66" t="s">
        <v>283</v>
      </c>
      <c r="B66" s="205" t="s">
        <v>167</v>
      </c>
      <c r="C66" s="205" t="s">
        <v>166</v>
      </c>
      <c r="D66" s="205" t="s">
        <v>886</v>
      </c>
    </row>
    <row r="67" spans="1:4" x14ac:dyDescent="0.3">
      <c r="A67" t="s">
        <v>284</v>
      </c>
      <c r="B67" s="205" t="s">
        <v>170</v>
      </c>
      <c r="C67" s="205" t="s">
        <v>169</v>
      </c>
      <c r="D67" s="205" t="s">
        <v>887</v>
      </c>
    </row>
    <row r="68" spans="1:4" x14ac:dyDescent="0.3">
      <c r="A68" t="s">
        <v>285</v>
      </c>
      <c r="B68" s="205" t="s">
        <v>174</v>
      </c>
      <c r="C68" s="205" t="s">
        <v>173</v>
      </c>
      <c r="D68" s="205" t="s">
        <v>888</v>
      </c>
    </row>
    <row r="69" spans="1:4" x14ac:dyDescent="0.3">
      <c r="A69" t="s">
        <v>286</v>
      </c>
      <c r="B69" s="205" t="s">
        <v>178</v>
      </c>
      <c r="C69" s="205" t="s">
        <v>177</v>
      </c>
      <c r="D69" s="205" t="s">
        <v>889</v>
      </c>
    </row>
    <row r="70" spans="1:4" x14ac:dyDescent="0.3">
      <c r="A70" t="s">
        <v>287</v>
      </c>
      <c r="B70" s="205" t="s">
        <v>183</v>
      </c>
      <c r="C70" s="205" t="s">
        <v>182</v>
      </c>
      <c r="D70" s="205" t="s">
        <v>890</v>
      </c>
    </row>
    <row r="71" spans="1:4" x14ac:dyDescent="0.3">
      <c r="A71" t="s">
        <v>288</v>
      </c>
      <c r="B71" s="205" t="s">
        <v>186</v>
      </c>
      <c r="C71" s="205" t="s">
        <v>185</v>
      </c>
      <c r="D71" s="205" t="s">
        <v>891</v>
      </c>
    </row>
    <row r="72" spans="1:4" x14ac:dyDescent="0.3">
      <c r="A72" t="s">
        <v>289</v>
      </c>
      <c r="B72" s="205" t="s">
        <v>189</v>
      </c>
      <c r="C72" s="205" t="s">
        <v>188</v>
      </c>
      <c r="D72" s="205" t="s">
        <v>892</v>
      </c>
    </row>
    <row r="73" spans="1:4" x14ac:dyDescent="0.3">
      <c r="A73" t="s">
        <v>290</v>
      </c>
      <c r="B73" s="205" t="s">
        <v>192</v>
      </c>
      <c r="C73" s="205" t="s">
        <v>191</v>
      </c>
      <c r="D73" s="205" t="s">
        <v>893</v>
      </c>
    </row>
    <row r="74" spans="1:4" x14ac:dyDescent="0.3">
      <c r="A74" t="s">
        <v>291</v>
      </c>
      <c r="B74" s="205" t="s">
        <v>195</v>
      </c>
      <c r="C74" s="205" t="s">
        <v>194</v>
      </c>
      <c r="D74" s="205" t="s">
        <v>894</v>
      </c>
    </row>
    <row r="75" spans="1:4" x14ac:dyDescent="0.3">
      <c r="A75" t="s">
        <v>292</v>
      </c>
      <c r="B75" s="205" t="s">
        <v>198</v>
      </c>
      <c r="C75" s="205" t="s">
        <v>197</v>
      </c>
      <c r="D75" s="205" t="s">
        <v>895</v>
      </c>
    </row>
    <row r="76" spans="1:4" x14ac:dyDescent="0.3">
      <c r="A76" t="s">
        <v>293</v>
      </c>
      <c r="B76" s="205" t="s">
        <v>201</v>
      </c>
      <c r="C76" s="205" t="s">
        <v>200</v>
      </c>
      <c r="D76" s="205" t="s">
        <v>896</v>
      </c>
    </row>
    <row r="77" spans="1:4" x14ac:dyDescent="0.3">
      <c r="A77" t="s">
        <v>294</v>
      </c>
      <c r="B77" s="205" t="s">
        <v>204</v>
      </c>
      <c r="C77" s="205" t="s">
        <v>203</v>
      </c>
      <c r="D77" s="205" t="s">
        <v>897</v>
      </c>
    </row>
    <row r="78" spans="1:4" x14ac:dyDescent="0.3">
      <c r="A78" t="s">
        <v>295</v>
      </c>
      <c r="B78" s="205" t="s">
        <v>207</v>
      </c>
      <c r="C78" s="205" t="s">
        <v>206</v>
      </c>
      <c r="D78" s="205" t="s">
        <v>898</v>
      </c>
    </row>
    <row r="79" spans="1:4" x14ac:dyDescent="0.3">
      <c r="A79" t="s">
        <v>296</v>
      </c>
      <c r="B79" s="205" t="s">
        <v>210</v>
      </c>
      <c r="C79" s="205" t="s">
        <v>209</v>
      </c>
      <c r="D79" s="205" t="s">
        <v>899</v>
      </c>
    </row>
    <row r="80" spans="1:4" x14ac:dyDescent="0.3">
      <c r="A80" t="s">
        <v>297</v>
      </c>
      <c r="B80" s="205" t="s">
        <v>213</v>
      </c>
      <c r="C80" s="205" t="s">
        <v>212</v>
      </c>
      <c r="D80" s="205" t="s">
        <v>900</v>
      </c>
    </row>
    <row r="81" spans="1:4" x14ac:dyDescent="0.3">
      <c r="A81" t="s">
        <v>298</v>
      </c>
      <c r="B81" s="205" t="s">
        <v>216</v>
      </c>
      <c r="C81" s="205" t="s">
        <v>215</v>
      </c>
      <c r="D81" s="205" t="s">
        <v>901</v>
      </c>
    </row>
    <row r="82" spans="1:4" x14ac:dyDescent="0.3">
      <c r="A82" t="s">
        <v>299</v>
      </c>
      <c r="B82" s="205" t="s">
        <v>219</v>
      </c>
      <c r="C82" s="205" t="s">
        <v>218</v>
      </c>
      <c r="D82" s="205" t="s">
        <v>902</v>
      </c>
    </row>
    <row r="83" spans="1:4" x14ac:dyDescent="0.3">
      <c r="A83" t="s">
        <v>300</v>
      </c>
      <c r="B83" s="205" t="s">
        <v>222</v>
      </c>
      <c r="C83" s="205" t="s">
        <v>221</v>
      </c>
      <c r="D83" s="205" t="s">
        <v>903</v>
      </c>
    </row>
    <row r="84" spans="1:4" x14ac:dyDescent="0.3">
      <c r="A84" t="s">
        <v>301</v>
      </c>
      <c r="B84" s="205" t="s">
        <v>225</v>
      </c>
      <c r="C84" s="205" t="s">
        <v>224</v>
      </c>
      <c r="D84" s="205" t="s">
        <v>904</v>
      </c>
    </row>
    <row r="85" spans="1:4" x14ac:dyDescent="0.3">
      <c r="A85" t="s">
        <v>302</v>
      </c>
      <c r="B85" s="205" t="s">
        <v>228</v>
      </c>
      <c r="C85" s="205" t="s">
        <v>227</v>
      </c>
      <c r="D85" s="205" t="s">
        <v>905</v>
      </c>
    </row>
    <row r="86" spans="1:4" x14ac:dyDescent="0.3">
      <c r="A86" t="s">
        <v>303</v>
      </c>
      <c r="B86" s="205" t="s">
        <v>231</v>
      </c>
      <c r="C86" s="205" t="s">
        <v>230</v>
      </c>
      <c r="D86" s="205" t="s">
        <v>906</v>
      </c>
    </row>
    <row r="87" spans="1:4" x14ac:dyDescent="0.3">
      <c r="A87" t="s">
        <v>304</v>
      </c>
      <c r="B87" s="205" t="s">
        <v>234</v>
      </c>
      <c r="C87" s="205" t="s">
        <v>233</v>
      </c>
      <c r="D87" s="205" t="s">
        <v>907</v>
      </c>
    </row>
    <row r="88" spans="1:4" x14ac:dyDescent="0.3">
      <c r="A88" t="s">
        <v>305</v>
      </c>
      <c r="B88" s="205" t="s">
        <v>237</v>
      </c>
      <c r="C88" s="205" t="s">
        <v>236</v>
      </c>
      <c r="D88" s="205" t="s">
        <v>908</v>
      </c>
    </row>
    <row r="89" spans="1:4" x14ac:dyDescent="0.3">
      <c r="A89" t="s">
        <v>306</v>
      </c>
      <c r="B89" s="205" t="s">
        <v>240</v>
      </c>
      <c r="C89" s="205" t="s">
        <v>239</v>
      </c>
      <c r="D89" s="205" t="s">
        <v>909</v>
      </c>
    </row>
    <row r="90" spans="1:4" x14ac:dyDescent="0.3">
      <c r="A90" t="s">
        <v>307</v>
      </c>
      <c r="B90" s="205" t="s">
        <v>243</v>
      </c>
      <c r="C90" s="205" t="s">
        <v>242</v>
      </c>
      <c r="D90" s="205" t="s">
        <v>910</v>
      </c>
    </row>
    <row r="91" spans="1:4" x14ac:dyDescent="0.3">
      <c r="A91" t="s">
        <v>308</v>
      </c>
      <c r="B91" s="205" t="s">
        <v>246</v>
      </c>
      <c r="C91" s="205" t="s">
        <v>245</v>
      </c>
      <c r="D91" s="205" t="s">
        <v>911</v>
      </c>
    </row>
    <row r="92" spans="1:4" x14ac:dyDescent="0.3">
      <c r="A92" t="s">
        <v>309</v>
      </c>
      <c r="B92" s="205" t="s">
        <v>249</v>
      </c>
      <c r="C92" s="205" t="s">
        <v>248</v>
      </c>
      <c r="D92" s="205" t="s">
        <v>912</v>
      </c>
    </row>
    <row r="93" spans="1:4" x14ac:dyDescent="0.3">
      <c r="A93" t="s">
        <v>310</v>
      </c>
      <c r="B93" s="205" t="s">
        <v>252</v>
      </c>
      <c r="C93" s="205" t="s">
        <v>251</v>
      </c>
      <c r="D93" s="205" t="s">
        <v>913</v>
      </c>
    </row>
    <row r="94" spans="1:4" x14ac:dyDescent="0.3">
      <c r="A94" t="s">
        <v>311</v>
      </c>
      <c r="B94" s="205" t="s">
        <v>255</v>
      </c>
      <c r="C94" s="205" t="s">
        <v>254</v>
      </c>
      <c r="D94" s="205" t="s">
        <v>914</v>
      </c>
    </row>
    <row r="95" spans="1:4" x14ac:dyDescent="0.3">
      <c r="A95" t="s">
        <v>312</v>
      </c>
      <c r="B95" s="205" t="s">
        <v>258</v>
      </c>
      <c r="C95" s="205" t="s">
        <v>257</v>
      </c>
      <c r="D95" s="205" t="s">
        <v>915</v>
      </c>
    </row>
    <row r="96" spans="1:4" x14ac:dyDescent="0.3">
      <c r="A96" t="s">
        <v>313</v>
      </c>
      <c r="B96" s="205" t="s">
        <v>261</v>
      </c>
      <c r="C96" s="205" t="s">
        <v>260</v>
      </c>
      <c r="D96" s="205" t="s">
        <v>916</v>
      </c>
    </row>
    <row r="97" spans="1:4" x14ac:dyDescent="0.3">
      <c r="A97" t="s">
        <v>314</v>
      </c>
      <c r="B97" s="205" t="s">
        <v>264</v>
      </c>
      <c r="C97" s="205" t="s">
        <v>263</v>
      </c>
      <c r="D97" s="205" t="s">
        <v>917</v>
      </c>
    </row>
    <row r="98" spans="1:4" x14ac:dyDescent="0.3">
      <c r="A98" t="s">
        <v>315</v>
      </c>
      <c r="B98" s="205" t="s">
        <v>267</v>
      </c>
      <c r="C98" s="205" t="s">
        <v>266</v>
      </c>
      <c r="D98" s="205" t="s">
        <v>918</v>
      </c>
    </row>
    <row r="99" spans="1:4" x14ac:dyDescent="0.3">
      <c r="B99" s="205"/>
      <c r="C99" s="205"/>
      <c r="D99" s="205"/>
    </row>
    <row r="100" spans="1:4" x14ac:dyDescent="0.3">
      <c r="A100" t="s">
        <v>528</v>
      </c>
      <c r="B100" s="205" t="s">
        <v>529</v>
      </c>
      <c r="C100" s="205" t="s">
        <v>530</v>
      </c>
      <c r="D100" s="205" t="s">
        <v>531</v>
      </c>
    </row>
    <row r="101" spans="1:4" x14ac:dyDescent="0.3">
      <c r="A101" t="s">
        <v>532</v>
      </c>
      <c r="B101" s="205" t="s">
        <v>533</v>
      </c>
      <c r="C101" s="205" t="s">
        <v>534</v>
      </c>
      <c r="D101" s="205" t="s">
        <v>535</v>
      </c>
    </row>
    <row r="102" spans="1:4" x14ac:dyDescent="0.3">
      <c r="A102" t="s">
        <v>536</v>
      </c>
      <c r="B102" s="205" t="s">
        <v>449</v>
      </c>
      <c r="C102" s="205" t="s">
        <v>450</v>
      </c>
      <c r="D102" s="205" t="s">
        <v>537</v>
      </c>
    </row>
    <row r="103" spans="1:4" x14ac:dyDescent="0.3">
      <c r="A103" t="s">
        <v>538</v>
      </c>
      <c r="B103" s="205" t="s">
        <v>539</v>
      </c>
      <c r="C103" s="205" t="s">
        <v>540</v>
      </c>
      <c r="D103" s="205" t="s">
        <v>541</v>
      </c>
    </row>
    <row r="104" spans="1:4" x14ac:dyDescent="0.3">
      <c r="A104" t="s">
        <v>542</v>
      </c>
      <c r="B104" s="205" t="s">
        <v>543</v>
      </c>
      <c r="C104" s="205" t="s">
        <v>544</v>
      </c>
      <c r="D104" s="205" t="s">
        <v>545</v>
      </c>
    </row>
    <row r="105" spans="1:4" x14ac:dyDescent="0.3">
      <c r="A105" t="s">
        <v>546</v>
      </c>
      <c r="B105" s="205" t="s">
        <v>547</v>
      </c>
      <c r="C105" s="205" t="s">
        <v>548</v>
      </c>
      <c r="D105" s="205" t="s">
        <v>549</v>
      </c>
    </row>
    <row r="106" spans="1:4" x14ac:dyDescent="0.3">
      <c r="A106" t="s">
        <v>550</v>
      </c>
      <c r="B106" s="205" t="s">
        <v>446</v>
      </c>
      <c r="C106" s="205" t="s">
        <v>447</v>
      </c>
      <c r="D106" s="205" t="s">
        <v>551</v>
      </c>
    </row>
    <row r="107" spans="1:4" x14ac:dyDescent="0.3">
      <c r="A107" t="s">
        <v>552</v>
      </c>
      <c r="B107" s="205" t="s">
        <v>553</v>
      </c>
      <c r="C107" s="205" t="s">
        <v>554</v>
      </c>
      <c r="D107" s="205" t="s">
        <v>555</v>
      </c>
    </row>
    <row r="108" spans="1:4" x14ac:dyDescent="0.3">
      <c r="A108" t="s">
        <v>556</v>
      </c>
      <c r="B108" s="205" t="s">
        <v>557</v>
      </c>
      <c r="C108" s="205" t="s">
        <v>558</v>
      </c>
      <c r="D108" s="205" t="s">
        <v>559</v>
      </c>
    </row>
    <row r="109" spans="1:4" x14ac:dyDescent="0.3">
      <c r="A109" t="s">
        <v>560</v>
      </c>
      <c r="B109" s="205" t="s">
        <v>561</v>
      </c>
      <c r="C109" s="205" t="s">
        <v>562</v>
      </c>
      <c r="D109" s="205" t="s">
        <v>563</v>
      </c>
    </row>
    <row r="110" spans="1:4" x14ac:dyDescent="0.3">
      <c r="A110" t="s">
        <v>564</v>
      </c>
      <c r="B110" s="205" t="s">
        <v>565</v>
      </c>
      <c r="C110" s="205" t="s">
        <v>566</v>
      </c>
      <c r="D110" s="205" t="s">
        <v>567</v>
      </c>
    </row>
    <row r="111" spans="1:4" x14ac:dyDescent="0.3">
      <c r="A111" t="s">
        <v>568</v>
      </c>
      <c r="B111" s="205" t="s">
        <v>410</v>
      </c>
      <c r="C111" s="205" t="s">
        <v>411</v>
      </c>
      <c r="D111" s="205" t="s">
        <v>569</v>
      </c>
    </row>
    <row r="112" spans="1:4" x14ac:dyDescent="0.3">
      <c r="A112" t="s">
        <v>570</v>
      </c>
      <c r="B112" s="205" t="s">
        <v>413</v>
      </c>
      <c r="C112" s="205" t="s">
        <v>414</v>
      </c>
      <c r="D112" s="205" t="s">
        <v>571</v>
      </c>
    </row>
    <row r="113" spans="1:4" x14ac:dyDescent="0.3">
      <c r="A113" t="s">
        <v>572</v>
      </c>
      <c r="B113" s="205" t="s">
        <v>573</v>
      </c>
      <c r="C113" s="205" t="s">
        <v>574</v>
      </c>
      <c r="D113" s="205" t="s">
        <v>575</v>
      </c>
    </row>
    <row r="114" spans="1:4" x14ac:dyDescent="0.3">
      <c r="A114" t="s">
        <v>576</v>
      </c>
      <c r="B114" s="205" t="s">
        <v>359</v>
      </c>
      <c r="C114" s="205" t="s">
        <v>360</v>
      </c>
      <c r="D114" s="205" t="s">
        <v>577</v>
      </c>
    </row>
    <row r="115" spans="1:4" x14ac:dyDescent="0.3">
      <c r="A115" t="s">
        <v>578</v>
      </c>
      <c r="B115" s="205" t="s">
        <v>579</v>
      </c>
      <c r="C115" s="205" t="s">
        <v>580</v>
      </c>
      <c r="D115" s="205" t="s">
        <v>581</v>
      </c>
    </row>
    <row r="116" spans="1:4" x14ac:dyDescent="0.3">
      <c r="A116" t="s">
        <v>582</v>
      </c>
      <c r="B116" s="205" t="s">
        <v>583</v>
      </c>
      <c r="C116" s="205" t="s">
        <v>584</v>
      </c>
      <c r="D116" s="205" t="s">
        <v>585</v>
      </c>
    </row>
    <row r="117" spans="1:4" x14ac:dyDescent="0.3">
      <c r="A117" t="s">
        <v>586</v>
      </c>
      <c r="B117" s="205" t="s">
        <v>587</v>
      </c>
      <c r="C117" s="205" t="s">
        <v>588</v>
      </c>
      <c r="D117" s="205" t="s">
        <v>589</v>
      </c>
    </row>
    <row r="118" spans="1:4" x14ac:dyDescent="0.3">
      <c r="A118" t="s">
        <v>590</v>
      </c>
      <c r="B118" s="205" t="s">
        <v>384</v>
      </c>
      <c r="C118" s="205" t="s">
        <v>383</v>
      </c>
      <c r="D118" s="205" t="s">
        <v>407</v>
      </c>
    </row>
    <row r="119" spans="1:4" x14ac:dyDescent="0.3">
      <c r="A119" t="s">
        <v>591</v>
      </c>
      <c r="B119" s="205" t="s">
        <v>592</v>
      </c>
      <c r="C119" s="205" t="s">
        <v>593</v>
      </c>
      <c r="D119" s="205" t="s">
        <v>594</v>
      </c>
    </row>
    <row r="120" spans="1:4" x14ac:dyDescent="0.3">
      <c r="A120" t="s">
        <v>595</v>
      </c>
      <c r="B120" s="205" t="s">
        <v>404</v>
      </c>
      <c r="C120" s="205" t="s">
        <v>405</v>
      </c>
      <c r="D120" s="205" t="s">
        <v>596</v>
      </c>
    </row>
    <row r="121" spans="1:4" x14ac:dyDescent="0.3">
      <c r="A121" t="s">
        <v>597</v>
      </c>
      <c r="B121" s="205" t="s">
        <v>598</v>
      </c>
      <c r="C121" s="205" t="s">
        <v>599</v>
      </c>
      <c r="D121" s="205" t="s">
        <v>600</v>
      </c>
    </row>
    <row r="122" spans="1:4" x14ac:dyDescent="0.3">
      <c r="A122" t="s">
        <v>601</v>
      </c>
      <c r="B122" s="205" t="s">
        <v>317</v>
      </c>
      <c r="C122" s="205" t="s">
        <v>318</v>
      </c>
      <c r="D122" s="205" t="s">
        <v>602</v>
      </c>
    </row>
    <row r="123" spans="1:4" x14ac:dyDescent="0.3">
      <c r="A123" t="s">
        <v>603</v>
      </c>
      <c r="B123" s="205" t="s">
        <v>604</v>
      </c>
      <c r="C123" s="205" t="s">
        <v>605</v>
      </c>
      <c r="D123" s="205" t="s">
        <v>606</v>
      </c>
    </row>
    <row r="124" spans="1:4" x14ac:dyDescent="0.3">
      <c r="A124" t="s">
        <v>607</v>
      </c>
      <c r="B124" s="205" t="s">
        <v>608</v>
      </c>
      <c r="C124" s="205" t="s">
        <v>609</v>
      </c>
      <c r="D124" s="205" t="s">
        <v>610</v>
      </c>
    </row>
    <row r="125" spans="1:4" x14ac:dyDescent="0.3">
      <c r="A125" t="s">
        <v>611</v>
      </c>
      <c r="B125" s="205" t="s">
        <v>612</v>
      </c>
      <c r="C125" s="205" t="s">
        <v>613</v>
      </c>
      <c r="D125" s="205" t="s">
        <v>614</v>
      </c>
    </row>
    <row r="126" spans="1:4" x14ac:dyDescent="0.3">
      <c r="A126" t="s">
        <v>615</v>
      </c>
      <c r="B126" s="205" t="s">
        <v>429</v>
      </c>
      <c r="C126" s="205" t="s">
        <v>428</v>
      </c>
      <c r="D126" s="205" t="s">
        <v>616</v>
      </c>
    </row>
    <row r="127" spans="1:4" x14ac:dyDescent="0.3">
      <c r="A127" t="s">
        <v>617</v>
      </c>
      <c r="B127" s="205" t="s">
        <v>333</v>
      </c>
      <c r="C127" s="205" t="s">
        <v>332</v>
      </c>
      <c r="D127" s="205" t="s">
        <v>618</v>
      </c>
    </row>
    <row r="128" spans="1:4" x14ac:dyDescent="0.3">
      <c r="A128" t="s">
        <v>619</v>
      </c>
      <c r="B128" s="205" t="s">
        <v>620</v>
      </c>
      <c r="C128" s="205" t="s">
        <v>621</v>
      </c>
      <c r="D128" s="205" t="s">
        <v>622</v>
      </c>
    </row>
    <row r="129" spans="1:4" x14ac:dyDescent="0.3">
      <c r="A129" t="s">
        <v>623</v>
      </c>
      <c r="B129" s="205" t="s">
        <v>562</v>
      </c>
      <c r="C129" s="205" t="s">
        <v>561</v>
      </c>
      <c r="D129" s="205" t="s">
        <v>624</v>
      </c>
    </row>
    <row r="130" spans="1:4" x14ac:dyDescent="0.3">
      <c r="A130" t="s">
        <v>625</v>
      </c>
      <c r="B130" s="205" t="s">
        <v>390</v>
      </c>
      <c r="C130" s="205" t="s">
        <v>389</v>
      </c>
      <c r="D130" s="205" t="s">
        <v>626</v>
      </c>
    </row>
    <row r="131" spans="1:4" x14ac:dyDescent="0.3">
      <c r="A131" t="s">
        <v>627</v>
      </c>
      <c r="B131" s="205" t="s">
        <v>628</v>
      </c>
      <c r="C131" s="205" t="s">
        <v>629</v>
      </c>
      <c r="D131" s="205" t="s">
        <v>630</v>
      </c>
    </row>
    <row r="132" spans="1:4" x14ac:dyDescent="0.3">
      <c r="A132" t="s">
        <v>631</v>
      </c>
      <c r="B132" s="205" t="s">
        <v>632</v>
      </c>
      <c r="C132" s="205" t="s">
        <v>633</v>
      </c>
      <c r="D132" s="205" t="s">
        <v>634</v>
      </c>
    </row>
    <row r="133" spans="1:4" x14ac:dyDescent="0.3">
      <c r="A133" t="s">
        <v>635</v>
      </c>
      <c r="B133" s="205" t="s">
        <v>636</v>
      </c>
      <c r="C133" s="205" t="s">
        <v>637</v>
      </c>
      <c r="D133" s="205" t="s">
        <v>638</v>
      </c>
    </row>
    <row r="134" spans="1:4" x14ac:dyDescent="0.3">
      <c r="A134" t="s">
        <v>639</v>
      </c>
      <c r="B134" s="205" t="s">
        <v>640</v>
      </c>
      <c r="C134" s="205" t="s">
        <v>641</v>
      </c>
      <c r="D134" s="205" t="s">
        <v>642</v>
      </c>
    </row>
    <row r="135" spans="1:4" x14ac:dyDescent="0.3">
      <c r="A135" t="s">
        <v>643</v>
      </c>
      <c r="B135" s="205" t="s">
        <v>540</v>
      </c>
      <c r="C135" s="205" t="s">
        <v>539</v>
      </c>
      <c r="D135" s="205" t="s">
        <v>644</v>
      </c>
    </row>
    <row r="136" spans="1:4" x14ac:dyDescent="0.3">
      <c r="A136" t="s">
        <v>645</v>
      </c>
      <c r="B136" s="205" t="s">
        <v>646</v>
      </c>
      <c r="C136" s="205" t="s">
        <v>647</v>
      </c>
      <c r="D136" s="205" t="s">
        <v>648</v>
      </c>
    </row>
    <row r="137" spans="1:4" x14ac:dyDescent="0.3">
      <c r="A137" t="s">
        <v>649</v>
      </c>
      <c r="B137" s="205" t="s">
        <v>650</v>
      </c>
      <c r="C137" s="205" t="s">
        <v>651</v>
      </c>
      <c r="D137" s="205" t="s">
        <v>652</v>
      </c>
    </row>
    <row r="138" spans="1:4" x14ac:dyDescent="0.3">
      <c r="A138" t="s">
        <v>653</v>
      </c>
      <c r="B138" s="205" t="s">
        <v>327</v>
      </c>
      <c r="C138" s="205" t="s">
        <v>326</v>
      </c>
      <c r="D138" s="205" t="s">
        <v>654</v>
      </c>
    </row>
    <row r="139" spans="1:4" x14ac:dyDescent="0.3">
      <c r="A139" t="s">
        <v>655</v>
      </c>
      <c r="B139" s="205" t="s">
        <v>656</v>
      </c>
      <c r="C139" s="205" t="s">
        <v>657</v>
      </c>
      <c r="D139" s="205" t="s">
        <v>658</v>
      </c>
    </row>
    <row r="140" spans="1:4" x14ac:dyDescent="0.3">
      <c r="A140" t="s">
        <v>659</v>
      </c>
      <c r="B140" s="205" t="s">
        <v>660</v>
      </c>
      <c r="C140" s="205" t="s">
        <v>661</v>
      </c>
      <c r="D140" s="205" t="s">
        <v>662</v>
      </c>
    </row>
    <row r="141" spans="1:4" x14ac:dyDescent="0.3">
      <c r="A141" t="s">
        <v>663</v>
      </c>
      <c r="B141" s="205" t="s">
        <v>664</v>
      </c>
      <c r="C141" s="205" t="s">
        <v>665</v>
      </c>
      <c r="D141" s="205" t="s">
        <v>252</v>
      </c>
    </row>
    <row r="142" spans="1:4" x14ac:dyDescent="0.3">
      <c r="A142" t="s">
        <v>666</v>
      </c>
      <c r="B142" s="205" t="s">
        <v>667</v>
      </c>
      <c r="C142" s="205" t="s">
        <v>668</v>
      </c>
      <c r="D142" s="205" t="s">
        <v>669</v>
      </c>
    </row>
    <row r="143" spans="1:4" x14ac:dyDescent="0.3">
      <c r="A143" t="s">
        <v>670</v>
      </c>
      <c r="B143" s="205" t="s">
        <v>671</v>
      </c>
      <c r="C143" s="205" t="s">
        <v>672</v>
      </c>
      <c r="D143" s="205" t="s">
        <v>673</v>
      </c>
    </row>
    <row r="144" spans="1:4" x14ac:dyDescent="0.3">
      <c r="A144" t="s">
        <v>674</v>
      </c>
      <c r="B144" s="205" t="s">
        <v>675</v>
      </c>
      <c r="C144" s="205" t="s">
        <v>676</v>
      </c>
      <c r="D144" s="205" t="s">
        <v>677</v>
      </c>
    </row>
    <row r="145" spans="1:4" x14ac:dyDescent="0.3">
      <c r="A145" t="s">
        <v>678</v>
      </c>
      <c r="B145" s="205" t="s">
        <v>679</v>
      </c>
      <c r="C145" s="205" t="s">
        <v>680</v>
      </c>
      <c r="D145" s="205" t="s">
        <v>681</v>
      </c>
    </row>
    <row r="146" spans="1:4" x14ac:dyDescent="0.3">
      <c r="A146" t="s">
        <v>682</v>
      </c>
      <c r="B146" s="205" t="s">
        <v>338</v>
      </c>
      <c r="C146" s="205" t="s">
        <v>339</v>
      </c>
      <c r="D146" s="205" t="s">
        <v>683</v>
      </c>
    </row>
    <row r="147" spans="1:4" x14ac:dyDescent="0.3">
      <c r="A147" t="s">
        <v>684</v>
      </c>
      <c r="B147" s="205" t="s">
        <v>685</v>
      </c>
      <c r="C147" s="205" t="s">
        <v>686</v>
      </c>
      <c r="D147" s="205" t="s">
        <v>687</v>
      </c>
    </row>
    <row r="148" spans="1:4" x14ac:dyDescent="0.3">
      <c r="A148" t="s">
        <v>688</v>
      </c>
      <c r="B148" s="205" t="s">
        <v>588</v>
      </c>
      <c r="C148" s="205" t="s">
        <v>587</v>
      </c>
      <c r="D148" s="205" t="s">
        <v>689</v>
      </c>
    </row>
    <row r="149" spans="1:4" x14ac:dyDescent="0.3">
      <c r="A149" t="s">
        <v>690</v>
      </c>
      <c r="B149" s="205" t="s">
        <v>691</v>
      </c>
      <c r="C149" s="205" t="s">
        <v>692</v>
      </c>
      <c r="D149" s="205" t="s">
        <v>693</v>
      </c>
    </row>
    <row r="150" spans="1:4" x14ac:dyDescent="0.3">
      <c r="A150" t="s">
        <v>694</v>
      </c>
      <c r="B150" s="205" t="s">
        <v>440</v>
      </c>
      <c r="C150" s="205" t="s">
        <v>441</v>
      </c>
      <c r="D150" s="205" t="s">
        <v>695</v>
      </c>
    </row>
    <row r="151" spans="1:4" x14ac:dyDescent="0.3">
      <c r="A151" t="s">
        <v>696</v>
      </c>
      <c r="B151" s="205" t="s">
        <v>363</v>
      </c>
      <c r="C151" s="205" t="s">
        <v>362</v>
      </c>
      <c r="D151" s="205" t="s">
        <v>697</v>
      </c>
    </row>
    <row r="152" spans="1:4" x14ac:dyDescent="0.3">
      <c r="A152" t="s">
        <v>698</v>
      </c>
      <c r="B152" s="205" t="s">
        <v>371</v>
      </c>
      <c r="C152" s="205" t="s">
        <v>372</v>
      </c>
      <c r="D152" s="205" t="s">
        <v>699</v>
      </c>
    </row>
    <row r="153" spans="1:4" x14ac:dyDescent="0.3">
      <c r="A153" t="s">
        <v>700</v>
      </c>
      <c r="B153" s="205" t="s">
        <v>701</v>
      </c>
      <c r="C153" s="205" t="s">
        <v>702</v>
      </c>
      <c r="D153" s="205" t="s">
        <v>703</v>
      </c>
    </row>
    <row r="154" spans="1:4" x14ac:dyDescent="0.3">
      <c r="A154" t="s">
        <v>704</v>
      </c>
      <c r="B154" s="205" t="s">
        <v>705</v>
      </c>
      <c r="C154" s="205" t="s">
        <v>706</v>
      </c>
      <c r="D154" s="205" t="s">
        <v>707</v>
      </c>
    </row>
    <row r="155" spans="1:4" x14ac:dyDescent="0.3">
      <c r="A155" t="s">
        <v>708</v>
      </c>
      <c r="B155" s="205" t="s">
        <v>651</v>
      </c>
      <c r="C155" s="205" t="s">
        <v>650</v>
      </c>
      <c r="D155" s="205" t="s">
        <v>709</v>
      </c>
    </row>
    <row r="156" spans="1:4" x14ac:dyDescent="0.3">
      <c r="A156" t="s">
        <v>710</v>
      </c>
      <c r="B156" s="205" t="s">
        <v>711</v>
      </c>
      <c r="C156" s="205" t="s">
        <v>712</v>
      </c>
      <c r="D156" s="205" t="s">
        <v>713</v>
      </c>
    </row>
    <row r="157" spans="1:4" x14ac:dyDescent="0.3">
      <c r="A157" t="s">
        <v>714</v>
      </c>
      <c r="B157" s="205" t="s">
        <v>715</v>
      </c>
      <c r="C157" s="205" t="s">
        <v>716</v>
      </c>
      <c r="D157" s="205" t="s">
        <v>717</v>
      </c>
    </row>
    <row r="158" spans="1:4" x14ac:dyDescent="0.3">
      <c r="A158" t="s">
        <v>718</v>
      </c>
      <c r="B158" s="205" t="s">
        <v>324</v>
      </c>
      <c r="C158" s="205" t="s">
        <v>323</v>
      </c>
      <c r="D158" s="205" t="s">
        <v>719</v>
      </c>
    </row>
    <row r="159" spans="1:4" x14ac:dyDescent="0.3">
      <c r="A159" t="s">
        <v>720</v>
      </c>
      <c r="B159" s="205" t="s">
        <v>657</v>
      </c>
      <c r="C159" s="205" t="s">
        <v>656</v>
      </c>
      <c r="D159" s="205" t="s">
        <v>721</v>
      </c>
    </row>
    <row r="160" spans="1:4" x14ac:dyDescent="0.3">
      <c r="A160" t="s">
        <v>722</v>
      </c>
      <c r="B160" s="205" t="s">
        <v>455</v>
      </c>
      <c r="C160" s="205" t="s">
        <v>456</v>
      </c>
      <c r="D160" s="205" t="s">
        <v>723</v>
      </c>
    </row>
    <row r="161" spans="1:4" x14ac:dyDescent="0.3">
      <c r="A161" t="s">
        <v>724</v>
      </c>
      <c r="B161" s="205" t="s">
        <v>725</v>
      </c>
      <c r="C161" s="205" t="s">
        <v>726</v>
      </c>
      <c r="D161" s="205" t="s">
        <v>727</v>
      </c>
    </row>
    <row r="162" spans="1:4" x14ac:dyDescent="0.3">
      <c r="A162" t="s">
        <v>728</v>
      </c>
      <c r="B162" s="205" t="s">
        <v>729</v>
      </c>
      <c r="C162" s="205" t="s">
        <v>730</v>
      </c>
      <c r="D162" s="205" t="s">
        <v>731</v>
      </c>
    </row>
    <row r="163" spans="1:4" x14ac:dyDescent="0.3">
      <c r="A163" t="s">
        <v>732</v>
      </c>
      <c r="B163" s="205" t="s">
        <v>726</v>
      </c>
      <c r="C163" s="205" t="s">
        <v>725</v>
      </c>
      <c r="D163" s="205" t="s">
        <v>733</v>
      </c>
    </row>
    <row r="164" spans="1:4" x14ac:dyDescent="0.3">
      <c r="A164" t="s">
        <v>734</v>
      </c>
      <c r="B164" s="205" t="s">
        <v>735</v>
      </c>
      <c r="C164" s="205" t="s">
        <v>736</v>
      </c>
      <c r="D164" s="205" t="s">
        <v>737</v>
      </c>
    </row>
    <row r="165" spans="1:4" x14ac:dyDescent="0.3">
      <c r="A165" t="s">
        <v>738</v>
      </c>
      <c r="B165" s="205" t="s">
        <v>739</v>
      </c>
      <c r="C165" s="205" t="s">
        <v>740</v>
      </c>
      <c r="D165" s="205" t="s">
        <v>741</v>
      </c>
    </row>
    <row r="166" spans="1:4" x14ac:dyDescent="0.3">
      <c r="A166" t="s">
        <v>742</v>
      </c>
      <c r="B166" s="205" t="s">
        <v>743</v>
      </c>
      <c r="C166" s="205" t="s">
        <v>744</v>
      </c>
      <c r="D166" s="205" t="s">
        <v>745</v>
      </c>
    </row>
    <row r="167" spans="1:4" x14ac:dyDescent="0.3">
      <c r="A167" t="s">
        <v>746</v>
      </c>
      <c r="B167" s="205" t="s">
        <v>747</v>
      </c>
      <c r="C167" s="205" t="s">
        <v>748</v>
      </c>
      <c r="D167" s="205" t="s">
        <v>749</v>
      </c>
    </row>
    <row r="168" spans="1:4" x14ac:dyDescent="0.3">
      <c r="A168" t="s">
        <v>750</v>
      </c>
      <c r="B168" s="205" t="s">
        <v>323</v>
      </c>
      <c r="C168" s="205" t="s">
        <v>324</v>
      </c>
      <c r="D168" s="205" t="s">
        <v>751</v>
      </c>
    </row>
    <row r="169" spans="1:4" x14ac:dyDescent="0.3">
      <c r="A169" t="s">
        <v>752</v>
      </c>
      <c r="B169" s="205" t="s">
        <v>329</v>
      </c>
      <c r="C169" s="205" t="s">
        <v>330</v>
      </c>
      <c r="D169" s="205" t="s">
        <v>753</v>
      </c>
    </row>
    <row r="170" spans="1:4" x14ac:dyDescent="0.3">
      <c r="A170" t="s">
        <v>754</v>
      </c>
      <c r="B170" s="205" t="s">
        <v>357</v>
      </c>
      <c r="C170" s="205" t="s">
        <v>356</v>
      </c>
      <c r="D170" s="205" t="s">
        <v>755</v>
      </c>
    </row>
    <row r="171" spans="1:4" x14ac:dyDescent="0.3">
      <c r="A171" t="s">
        <v>756</v>
      </c>
      <c r="B171" s="205" t="s">
        <v>408</v>
      </c>
      <c r="C171" s="205" t="s">
        <v>407</v>
      </c>
      <c r="D171" s="205" t="s">
        <v>383</v>
      </c>
    </row>
    <row r="172" spans="1:4" x14ac:dyDescent="0.3">
      <c r="A172" t="s">
        <v>757</v>
      </c>
      <c r="B172" s="205" t="s">
        <v>758</v>
      </c>
      <c r="C172" s="205" t="s">
        <v>759</v>
      </c>
      <c r="D172" s="205" t="s">
        <v>760</v>
      </c>
    </row>
    <row r="173" spans="1:4" x14ac:dyDescent="0.3">
      <c r="A173" t="s">
        <v>761</v>
      </c>
      <c r="B173" s="205" t="s">
        <v>762</v>
      </c>
      <c r="C173" s="205" t="s">
        <v>763</v>
      </c>
      <c r="D173" s="205" t="s">
        <v>764</v>
      </c>
    </row>
    <row r="174" spans="1:4" x14ac:dyDescent="0.3">
      <c r="A174" t="s">
        <v>765</v>
      </c>
      <c r="B174" s="205" t="s">
        <v>350</v>
      </c>
      <c r="C174" s="205" t="s">
        <v>351</v>
      </c>
      <c r="D174" s="205" t="s">
        <v>766</v>
      </c>
    </row>
    <row r="175" spans="1:4" x14ac:dyDescent="0.3">
      <c r="A175" t="s">
        <v>767</v>
      </c>
      <c r="B175" s="205" t="s">
        <v>768</v>
      </c>
      <c r="C175" s="205" t="s">
        <v>769</v>
      </c>
      <c r="D175" s="205" t="s">
        <v>770</v>
      </c>
    </row>
    <row r="176" spans="1:4" x14ac:dyDescent="0.3">
      <c r="A176" t="s">
        <v>771</v>
      </c>
      <c r="B176" s="205" t="s">
        <v>380</v>
      </c>
      <c r="C176" s="205" t="s">
        <v>381</v>
      </c>
      <c r="D176" s="205" t="s">
        <v>772</v>
      </c>
    </row>
    <row r="177" spans="1:4" x14ac:dyDescent="0.3">
      <c r="A177" t="s">
        <v>773</v>
      </c>
      <c r="B177" s="205" t="s">
        <v>422</v>
      </c>
      <c r="C177" s="205" t="s">
        <v>423</v>
      </c>
      <c r="D177" s="205" t="s">
        <v>774</v>
      </c>
    </row>
    <row r="178" spans="1:4" x14ac:dyDescent="0.3">
      <c r="A178" t="s">
        <v>775</v>
      </c>
      <c r="B178" s="205" t="s">
        <v>776</v>
      </c>
      <c r="C178" s="205" t="s">
        <v>777</v>
      </c>
      <c r="D178" s="205" t="s">
        <v>778</v>
      </c>
    </row>
    <row r="179" spans="1:4" x14ac:dyDescent="0.3">
      <c r="A179" t="s">
        <v>779</v>
      </c>
      <c r="B179" s="205" t="s">
        <v>769</v>
      </c>
      <c r="C179" s="205" t="s">
        <v>768</v>
      </c>
      <c r="D179" s="205" t="s">
        <v>780</v>
      </c>
    </row>
    <row r="180" spans="1:4" x14ac:dyDescent="0.3">
      <c r="A180" t="s">
        <v>781</v>
      </c>
      <c r="B180" s="205" t="s">
        <v>782</v>
      </c>
      <c r="C180" s="205" t="s">
        <v>783</v>
      </c>
      <c r="D180" s="205" t="s">
        <v>784</v>
      </c>
    </row>
    <row r="181" spans="1:4" x14ac:dyDescent="0.3">
      <c r="A181" t="s">
        <v>785</v>
      </c>
      <c r="B181" s="205" t="s">
        <v>354</v>
      </c>
      <c r="C181" s="205" t="s">
        <v>353</v>
      </c>
      <c r="D181" s="205" t="s">
        <v>786</v>
      </c>
    </row>
    <row r="182" spans="1:4" x14ac:dyDescent="0.3">
      <c r="A182" t="s">
        <v>787</v>
      </c>
      <c r="B182" s="205" t="s">
        <v>420</v>
      </c>
      <c r="C182" s="205" t="s">
        <v>419</v>
      </c>
      <c r="D182" s="205" t="s">
        <v>788</v>
      </c>
    </row>
    <row r="183" spans="1:4" x14ac:dyDescent="0.3">
      <c r="A183" t="s">
        <v>789</v>
      </c>
      <c r="B183" s="205" t="s">
        <v>702</v>
      </c>
      <c r="C183" s="205" t="s">
        <v>701</v>
      </c>
      <c r="D183" s="205" t="s">
        <v>790</v>
      </c>
    </row>
    <row r="184" spans="1:4" x14ac:dyDescent="0.3">
      <c r="A184" t="s">
        <v>791</v>
      </c>
      <c r="B184" s="205" t="s">
        <v>423</v>
      </c>
      <c r="C184" s="205" t="s">
        <v>422</v>
      </c>
      <c r="D184" s="205" t="s">
        <v>792</v>
      </c>
    </row>
    <row r="185" spans="1:4" x14ac:dyDescent="0.3">
      <c r="A185" t="s">
        <v>793</v>
      </c>
      <c r="B185" s="205" t="s">
        <v>794</v>
      </c>
      <c r="C185" s="205" t="s">
        <v>795</v>
      </c>
      <c r="D185" s="205" t="s">
        <v>338</v>
      </c>
    </row>
    <row r="186" spans="1:4" x14ac:dyDescent="0.3">
      <c r="A186" t="s">
        <v>796</v>
      </c>
      <c r="B186" s="205" t="s">
        <v>431</v>
      </c>
      <c r="C186" s="205" t="s">
        <v>432</v>
      </c>
      <c r="D186" s="205" t="s">
        <v>797</v>
      </c>
    </row>
    <row r="187" spans="1:4" x14ac:dyDescent="0.3">
      <c r="A187" t="s">
        <v>798</v>
      </c>
      <c r="B187" s="205" t="s">
        <v>668</v>
      </c>
      <c r="C187" s="205" t="s">
        <v>667</v>
      </c>
      <c r="D187" s="205" t="s">
        <v>799</v>
      </c>
    </row>
    <row r="188" spans="1:4" x14ac:dyDescent="0.3">
      <c r="A188" t="s">
        <v>800</v>
      </c>
      <c r="B188" s="205" t="s">
        <v>801</v>
      </c>
      <c r="C188" s="205" t="s">
        <v>802</v>
      </c>
      <c r="D188" s="205" t="s">
        <v>803</v>
      </c>
    </row>
    <row r="189" spans="1:4" x14ac:dyDescent="0.3">
      <c r="A189" t="s">
        <v>804</v>
      </c>
      <c r="B189" s="205" t="s">
        <v>336</v>
      </c>
      <c r="C189" s="205" t="s">
        <v>335</v>
      </c>
      <c r="D189" s="205" t="s">
        <v>805</v>
      </c>
    </row>
    <row r="190" spans="1:4" x14ac:dyDescent="0.3">
      <c r="A190" t="s">
        <v>806</v>
      </c>
      <c r="B190" s="205" t="s">
        <v>417</v>
      </c>
      <c r="C190" s="205" t="s">
        <v>416</v>
      </c>
      <c r="D190" s="205" t="s">
        <v>807</v>
      </c>
    </row>
    <row r="191" spans="1:4" x14ac:dyDescent="0.3">
      <c r="A191" t="s">
        <v>808</v>
      </c>
      <c r="B191" s="205" t="s">
        <v>809</v>
      </c>
      <c r="C191" s="205" t="s">
        <v>810</v>
      </c>
      <c r="D191" s="205" t="s">
        <v>811</v>
      </c>
    </row>
    <row r="192" spans="1:4" x14ac:dyDescent="0.3">
      <c r="A192" t="s">
        <v>812</v>
      </c>
      <c r="B192" s="205" t="s">
        <v>580</v>
      </c>
      <c r="C192" s="205" t="s">
        <v>579</v>
      </c>
      <c r="D192" s="205" t="s">
        <v>813</v>
      </c>
    </row>
    <row r="193" spans="1:4" x14ac:dyDescent="0.3">
      <c r="A193" t="s">
        <v>814</v>
      </c>
      <c r="B193" s="205" t="s">
        <v>815</v>
      </c>
      <c r="C193" s="205" t="s">
        <v>816</v>
      </c>
      <c r="D193" s="205" t="s">
        <v>817</v>
      </c>
    </row>
    <row r="194" spans="1:4" x14ac:dyDescent="0.3">
      <c r="A194" t="s">
        <v>818</v>
      </c>
      <c r="B194" s="205" t="s">
        <v>347</v>
      </c>
      <c r="C194" s="205" t="s">
        <v>348</v>
      </c>
      <c r="D194" s="205" t="s">
        <v>819</v>
      </c>
    </row>
    <row r="195" spans="1:4" x14ac:dyDescent="0.3">
      <c r="A195" t="s">
        <v>820</v>
      </c>
      <c r="B195" s="205" t="s">
        <v>821</v>
      </c>
      <c r="C195" s="205" t="s">
        <v>822</v>
      </c>
      <c r="D195" s="205" t="s">
        <v>823</v>
      </c>
    </row>
    <row r="196" spans="1:4" x14ac:dyDescent="0.3">
      <c r="B196" s="205"/>
      <c r="C196" s="205"/>
      <c r="D196" s="205"/>
    </row>
    <row r="197" spans="1:4" x14ac:dyDescent="0.3">
      <c r="A197" t="s">
        <v>316</v>
      </c>
      <c r="B197" s="205" t="s">
        <v>317</v>
      </c>
      <c r="C197" s="205" t="s">
        <v>318</v>
      </c>
      <c r="D197" s="205"/>
    </row>
    <row r="198" spans="1:4" x14ac:dyDescent="0.3">
      <c r="A198" t="s">
        <v>319</v>
      </c>
      <c r="B198" s="205" t="s">
        <v>320</v>
      </c>
      <c r="C198" s="205" t="s">
        <v>321</v>
      </c>
      <c r="D198" s="205"/>
    </row>
    <row r="199" spans="1:4" x14ac:dyDescent="0.3">
      <c r="A199" t="s">
        <v>322</v>
      </c>
      <c r="B199" s="205" t="s">
        <v>323</v>
      </c>
      <c r="C199" s="205" t="s">
        <v>324</v>
      </c>
      <c r="D199" s="205"/>
    </row>
    <row r="200" spans="1:4" x14ac:dyDescent="0.3">
      <c r="A200" t="s">
        <v>325</v>
      </c>
      <c r="B200" s="205" t="s">
        <v>326</v>
      </c>
      <c r="C200" s="205" t="s">
        <v>327</v>
      </c>
      <c r="D200" s="205"/>
    </row>
    <row r="201" spans="1:4" x14ac:dyDescent="0.3">
      <c r="A201" t="s">
        <v>328</v>
      </c>
      <c r="B201" s="205" t="s">
        <v>329</v>
      </c>
      <c r="C201" s="205" t="s">
        <v>330</v>
      </c>
      <c r="D201" s="205"/>
    </row>
    <row r="202" spans="1:4" x14ac:dyDescent="0.3">
      <c r="A202" t="s">
        <v>331</v>
      </c>
      <c r="B202" s="205" t="s">
        <v>332</v>
      </c>
      <c r="C202" s="205" t="s">
        <v>333</v>
      </c>
      <c r="D202" s="205"/>
    </row>
    <row r="203" spans="1:4" x14ac:dyDescent="0.3">
      <c r="A203" t="s">
        <v>334</v>
      </c>
      <c r="B203" s="205" t="s">
        <v>335</v>
      </c>
      <c r="C203" s="205" t="s">
        <v>336</v>
      </c>
      <c r="D203" s="205"/>
    </row>
    <row r="204" spans="1:4" x14ac:dyDescent="0.3">
      <c r="A204" t="s">
        <v>337</v>
      </c>
      <c r="B204" s="205" t="s">
        <v>338</v>
      </c>
      <c r="C204" s="205" t="s">
        <v>339</v>
      </c>
      <c r="D204" s="205"/>
    </row>
    <row r="205" spans="1:4" x14ac:dyDescent="0.3">
      <c r="A205" t="s">
        <v>340</v>
      </c>
      <c r="B205" s="205" t="s">
        <v>341</v>
      </c>
      <c r="C205" s="205" t="s">
        <v>342</v>
      </c>
      <c r="D205" s="205"/>
    </row>
    <row r="206" spans="1:4" x14ac:dyDescent="0.3">
      <c r="A206" t="s">
        <v>343</v>
      </c>
      <c r="B206" s="205" t="s">
        <v>344</v>
      </c>
      <c r="C206" s="205" t="s">
        <v>345</v>
      </c>
      <c r="D206" s="205"/>
    </row>
    <row r="207" spans="1:4" x14ac:dyDescent="0.3">
      <c r="A207" t="s">
        <v>346</v>
      </c>
      <c r="B207" s="205" t="s">
        <v>347</v>
      </c>
      <c r="C207" s="205" t="s">
        <v>348</v>
      </c>
      <c r="D207" s="205"/>
    </row>
    <row r="208" spans="1:4" x14ac:dyDescent="0.3">
      <c r="A208" t="s">
        <v>349</v>
      </c>
      <c r="B208" s="205" t="s">
        <v>350</v>
      </c>
      <c r="C208" s="205" t="s">
        <v>351</v>
      </c>
      <c r="D208" s="205"/>
    </row>
    <row r="209" spans="1:4" x14ac:dyDescent="0.3">
      <c r="A209" t="s">
        <v>352</v>
      </c>
      <c r="B209" s="205" t="s">
        <v>353</v>
      </c>
      <c r="C209" s="205" t="s">
        <v>354</v>
      </c>
      <c r="D209" s="205"/>
    </row>
    <row r="210" spans="1:4" x14ac:dyDescent="0.3">
      <c r="A210" t="s">
        <v>355</v>
      </c>
      <c r="B210" s="205" t="s">
        <v>356</v>
      </c>
      <c r="C210" s="205" t="s">
        <v>357</v>
      </c>
      <c r="D210" s="205"/>
    </row>
    <row r="211" spans="1:4" x14ac:dyDescent="0.3">
      <c r="A211" t="s">
        <v>358</v>
      </c>
      <c r="B211" s="205" t="s">
        <v>359</v>
      </c>
      <c r="C211" s="205" t="s">
        <v>360</v>
      </c>
      <c r="D211" s="205"/>
    </row>
    <row r="212" spans="1:4" x14ac:dyDescent="0.3">
      <c r="A212" t="s">
        <v>361</v>
      </c>
      <c r="B212" s="205" t="s">
        <v>362</v>
      </c>
      <c r="C212" s="205" t="s">
        <v>363</v>
      </c>
      <c r="D212" s="205"/>
    </row>
    <row r="213" spans="1:4" x14ac:dyDescent="0.3">
      <c r="A213" t="s">
        <v>364</v>
      </c>
      <c r="B213" s="205" t="s">
        <v>365</v>
      </c>
      <c r="C213" s="205" t="s">
        <v>366</v>
      </c>
      <c r="D213" s="205"/>
    </row>
    <row r="214" spans="1:4" x14ac:dyDescent="0.3">
      <c r="A214" t="s">
        <v>367</v>
      </c>
      <c r="B214" s="205" t="s">
        <v>368</v>
      </c>
      <c r="C214" s="205" t="s">
        <v>369</v>
      </c>
      <c r="D214" s="205"/>
    </row>
    <row r="215" spans="1:4" x14ac:dyDescent="0.3">
      <c r="A215" t="s">
        <v>370</v>
      </c>
      <c r="B215" s="205" t="s">
        <v>371</v>
      </c>
      <c r="C215" s="205" t="s">
        <v>372</v>
      </c>
      <c r="D215" s="205"/>
    </row>
    <row r="216" spans="1:4" x14ac:dyDescent="0.3">
      <c r="A216" t="s">
        <v>373</v>
      </c>
      <c r="B216" s="205" t="s">
        <v>374</v>
      </c>
      <c r="C216" s="205" t="s">
        <v>375</v>
      </c>
      <c r="D216" s="205"/>
    </row>
    <row r="217" spans="1:4" x14ac:dyDescent="0.3">
      <c r="A217" t="s">
        <v>376</v>
      </c>
      <c r="B217" s="205" t="s">
        <v>377</v>
      </c>
      <c r="C217" s="205" t="s">
        <v>378</v>
      </c>
      <c r="D217" s="205"/>
    </row>
    <row r="218" spans="1:4" x14ac:dyDescent="0.3">
      <c r="A218" t="s">
        <v>379</v>
      </c>
      <c r="B218" s="205" t="s">
        <v>380</v>
      </c>
      <c r="C218" s="205" t="s">
        <v>381</v>
      </c>
      <c r="D218" s="205"/>
    </row>
    <row r="219" spans="1:4" x14ac:dyDescent="0.3">
      <c r="A219" t="s">
        <v>382</v>
      </c>
      <c r="B219" s="205" t="s">
        <v>383</v>
      </c>
      <c r="C219" s="205" t="s">
        <v>384</v>
      </c>
      <c r="D219" s="205"/>
    </row>
    <row r="220" spans="1:4" x14ac:dyDescent="0.3">
      <c r="A220" t="s">
        <v>385</v>
      </c>
      <c r="B220" s="205" t="s">
        <v>386</v>
      </c>
      <c r="C220" s="205" t="s">
        <v>387</v>
      </c>
      <c r="D220" s="205"/>
    </row>
    <row r="221" spans="1:4" x14ac:dyDescent="0.3">
      <c r="A221" t="s">
        <v>388</v>
      </c>
      <c r="B221" s="205" t="s">
        <v>389</v>
      </c>
      <c r="C221" s="205" t="s">
        <v>390</v>
      </c>
      <c r="D221" s="205"/>
    </row>
    <row r="222" spans="1:4" x14ac:dyDescent="0.3">
      <c r="A222" t="s">
        <v>391</v>
      </c>
      <c r="B222" s="205" t="s">
        <v>392</v>
      </c>
      <c r="C222" s="205" t="s">
        <v>393</v>
      </c>
      <c r="D222" s="205"/>
    </row>
    <row r="223" spans="1:4" x14ac:dyDescent="0.3">
      <c r="A223" t="s">
        <v>394</v>
      </c>
      <c r="B223" s="205" t="s">
        <v>395</v>
      </c>
      <c r="C223" s="205" t="s">
        <v>396</v>
      </c>
      <c r="D223" s="205"/>
    </row>
    <row r="224" spans="1:4" x14ac:dyDescent="0.3">
      <c r="A224" t="s">
        <v>397</v>
      </c>
      <c r="B224" s="205" t="s">
        <v>398</v>
      </c>
      <c r="C224" s="205" t="s">
        <v>399</v>
      </c>
      <c r="D224" s="205"/>
    </row>
    <row r="225" spans="1:4" x14ac:dyDescent="0.3">
      <c r="A225" t="s">
        <v>400</v>
      </c>
      <c r="B225" s="205" t="s">
        <v>401</v>
      </c>
      <c r="C225" s="205" t="s">
        <v>402</v>
      </c>
      <c r="D225" s="205"/>
    </row>
    <row r="226" spans="1:4" x14ac:dyDescent="0.3">
      <c r="A226" t="s">
        <v>403</v>
      </c>
      <c r="B226" s="205" t="s">
        <v>404</v>
      </c>
      <c r="C226" s="205" t="s">
        <v>405</v>
      </c>
      <c r="D226" s="205"/>
    </row>
    <row r="227" spans="1:4" x14ac:dyDescent="0.3">
      <c r="A227" t="s">
        <v>406</v>
      </c>
      <c r="B227" s="205" t="s">
        <v>407</v>
      </c>
      <c r="C227" s="205" t="s">
        <v>408</v>
      </c>
      <c r="D227" s="205"/>
    </row>
    <row r="228" spans="1:4" x14ac:dyDescent="0.3">
      <c r="A228" t="s">
        <v>409</v>
      </c>
      <c r="B228" s="205" t="s">
        <v>410</v>
      </c>
      <c r="C228" s="205" t="s">
        <v>411</v>
      </c>
      <c r="D228" s="205"/>
    </row>
    <row r="229" spans="1:4" x14ac:dyDescent="0.3">
      <c r="A229" t="s">
        <v>412</v>
      </c>
      <c r="B229" s="205" t="s">
        <v>413</v>
      </c>
      <c r="C229" s="205" t="s">
        <v>414</v>
      </c>
      <c r="D229" s="205"/>
    </row>
    <row r="230" spans="1:4" x14ac:dyDescent="0.3">
      <c r="A230" t="s">
        <v>415</v>
      </c>
      <c r="B230" s="205" t="s">
        <v>416</v>
      </c>
      <c r="C230" s="205" t="s">
        <v>417</v>
      </c>
      <c r="D230" s="205"/>
    </row>
    <row r="231" spans="1:4" x14ac:dyDescent="0.3">
      <c r="A231" t="s">
        <v>418</v>
      </c>
      <c r="B231" s="205" t="s">
        <v>419</v>
      </c>
      <c r="C231" s="205" t="s">
        <v>420</v>
      </c>
      <c r="D231" s="205"/>
    </row>
    <row r="232" spans="1:4" x14ac:dyDescent="0.3">
      <c r="A232" t="s">
        <v>421</v>
      </c>
      <c r="B232" s="205" t="s">
        <v>422</v>
      </c>
      <c r="C232" s="205" t="s">
        <v>423</v>
      </c>
      <c r="D232" s="205"/>
    </row>
    <row r="233" spans="1:4" x14ac:dyDescent="0.3">
      <c r="A233" t="s">
        <v>424</v>
      </c>
      <c r="B233" s="205" t="s">
        <v>425</v>
      </c>
      <c r="C233" s="205" t="s">
        <v>426</v>
      </c>
      <c r="D233" s="205"/>
    </row>
    <row r="234" spans="1:4" x14ac:dyDescent="0.3">
      <c r="A234" t="s">
        <v>427</v>
      </c>
      <c r="B234" s="205" t="s">
        <v>428</v>
      </c>
      <c r="C234" s="205" t="s">
        <v>429</v>
      </c>
      <c r="D234" s="205"/>
    </row>
    <row r="235" spans="1:4" x14ac:dyDescent="0.3">
      <c r="A235" t="s">
        <v>430</v>
      </c>
      <c r="B235" s="205" t="s">
        <v>431</v>
      </c>
      <c r="C235" s="205" t="s">
        <v>432</v>
      </c>
      <c r="D235" s="205"/>
    </row>
    <row r="236" spans="1:4" x14ac:dyDescent="0.3">
      <c r="A236" t="s">
        <v>433</v>
      </c>
      <c r="B236" s="205" t="s">
        <v>434</v>
      </c>
      <c r="C236" s="205" t="s">
        <v>435</v>
      </c>
      <c r="D236" s="205"/>
    </row>
    <row r="237" spans="1:4" x14ac:dyDescent="0.3">
      <c r="A237" t="s">
        <v>436</v>
      </c>
      <c r="B237" s="205" t="s">
        <v>437</v>
      </c>
      <c r="C237" s="205" t="s">
        <v>438</v>
      </c>
      <c r="D237" s="205"/>
    </row>
    <row r="238" spans="1:4" x14ac:dyDescent="0.3">
      <c r="A238" t="s">
        <v>439</v>
      </c>
      <c r="B238" s="205" t="s">
        <v>440</v>
      </c>
      <c r="C238" s="205" t="s">
        <v>441</v>
      </c>
      <c r="D238" s="205"/>
    </row>
    <row r="239" spans="1:4" x14ac:dyDescent="0.3">
      <c r="A239" t="s">
        <v>442</v>
      </c>
      <c r="B239" s="205" t="s">
        <v>443</v>
      </c>
      <c r="C239" s="205" t="s">
        <v>444</v>
      </c>
      <c r="D239" s="205"/>
    </row>
    <row r="240" spans="1:4" x14ac:dyDescent="0.3">
      <c r="A240" t="s">
        <v>445</v>
      </c>
      <c r="B240" s="205" t="s">
        <v>446</v>
      </c>
      <c r="C240" s="205" t="s">
        <v>447</v>
      </c>
      <c r="D240" s="205"/>
    </row>
    <row r="241" spans="1:4" x14ac:dyDescent="0.3">
      <c r="A241" t="s">
        <v>448</v>
      </c>
      <c r="B241" s="205" t="s">
        <v>449</v>
      </c>
      <c r="C241" s="205" t="s">
        <v>450</v>
      </c>
      <c r="D241" s="205"/>
    </row>
    <row r="242" spans="1:4" x14ac:dyDescent="0.3">
      <c r="A242" t="s">
        <v>451</v>
      </c>
      <c r="B242" s="205" t="s">
        <v>452</v>
      </c>
      <c r="C242" s="205" t="s">
        <v>453</v>
      </c>
      <c r="D242" s="205"/>
    </row>
    <row r="243" spans="1:4" x14ac:dyDescent="0.3">
      <c r="A243" t="s">
        <v>454</v>
      </c>
      <c r="B243" s="205" t="s">
        <v>455</v>
      </c>
      <c r="C243" s="205" t="s">
        <v>456</v>
      </c>
      <c r="D243" s="205"/>
    </row>
    <row r="244" spans="1:4" x14ac:dyDescent="0.3">
      <c r="A244" t="s">
        <v>457</v>
      </c>
      <c r="B244" s="205" t="s">
        <v>458</v>
      </c>
      <c r="C244" s="205" t="s">
        <v>459</v>
      </c>
      <c r="D244" s="205"/>
    </row>
    <row r="245" spans="1:4" x14ac:dyDescent="0.3">
      <c r="A245" t="s">
        <v>460</v>
      </c>
      <c r="B245" s="205" t="s">
        <v>318</v>
      </c>
      <c r="C245" s="205" t="s">
        <v>317</v>
      </c>
      <c r="D245" s="205"/>
    </row>
    <row r="246" spans="1:4" x14ac:dyDescent="0.3">
      <c r="A246" t="s">
        <v>461</v>
      </c>
      <c r="B246" s="205" t="s">
        <v>321</v>
      </c>
      <c r="C246" s="205" t="s">
        <v>320</v>
      </c>
      <c r="D246" s="205"/>
    </row>
    <row r="247" spans="1:4" x14ac:dyDescent="0.3">
      <c r="A247" t="s">
        <v>462</v>
      </c>
      <c r="B247" s="205" t="s">
        <v>324</v>
      </c>
      <c r="C247" s="205" t="s">
        <v>323</v>
      </c>
      <c r="D247" s="205"/>
    </row>
    <row r="248" spans="1:4" x14ac:dyDescent="0.3">
      <c r="A248" t="s">
        <v>463</v>
      </c>
      <c r="B248" s="205" t="s">
        <v>327</v>
      </c>
      <c r="C248" s="205" t="s">
        <v>326</v>
      </c>
      <c r="D248" s="205"/>
    </row>
    <row r="249" spans="1:4" x14ac:dyDescent="0.3">
      <c r="A249" t="s">
        <v>464</v>
      </c>
      <c r="B249" s="205" t="s">
        <v>330</v>
      </c>
      <c r="C249" s="205" t="s">
        <v>329</v>
      </c>
      <c r="D249" s="205"/>
    </row>
    <row r="250" spans="1:4" x14ac:dyDescent="0.3">
      <c r="A250" t="s">
        <v>465</v>
      </c>
      <c r="B250" s="205" t="s">
        <v>333</v>
      </c>
      <c r="C250" s="205" t="s">
        <v>332</v>
      </c>
      <c r="D250" s="205"/>
    </row>
    <row r="251" spans="1:4" x14ac:dyDescent="0.3">
      <c r="A251" t="s">
        <v>466</v>
      </c>
      <c r="B251" s="205" t="s">
        <v>336</v>
      </c>
      <c r="C251" s="205" t="s">
        <v>335</v>
      </c>
      <c r="D251" s="205"/>
    </row>
    <row r="252" spans="1:4" x14ac:dyDescent="0.3">
      <c r="A252" t="s">
        <v>467</v>
      </c>
      <c r="B252" s="205" t="s">
        <v>339</v>
      </c>
      <c r="C252" s="205" t="s">
        <v>338</v>
      </c>
      <c r="D252" s="205"/>
    </row>
    <row r="253" spans="1:4" x14ac:dyDescent="0.3">
      <c r="A253" t="s">
        <v>468</v>
      </c>
      <c r="B253" s="205" t="s">
        <v>342</v>
      </c>
      <c r="C253" s="205" t="s">
        <v>341</v>
      </c>
      <c r="D253" s="205"/>
    </row>
    <row r="254" spans="1:4" x14ac:dyDescent="0.3">
      <c r="A254" t="s">
        <v>469</v>
      </c>
      <c r="B254" s="205" t="s">
        <v>345</v>
      </c>
      <c r="C254" s="205" t="s">
        <v>344</v>
      </c>
      <c r="D254" s="205"/>
    </row>
    <row r="255" spans="1:4" x14ac:dyDescent="0.3">
      <c r="A255" t="s">
        <v>470</v>
      </c>
      <c r="B255" s="205" t="s">
        <v>348</v>
      </c>
      <c r="C255" s="205" t="s">
        <v>347</v>
      </c>
      <c r="D255" s="205"/>
    </row>
    <row r="256" spans="1:4" x14ac:dyDescent="0.3">
      <c r="A256" t="s">
        <v>471</v>
      </c>
      <c r="B256" s="205" t="s">
        <v>351</v>
      </c>
      <c r="C256" s="205" t="s">
        <v>350</v>
      </c>
      <c r="D256" s="205"/>
    </row>
    <row r="257" spans="1:4" x14ac:dyDescent="0.3">
      <c r="A257" t="s">
        <v>472</v>
      </c>
      <c r="B257" s="205" t="s">
        <v>354</v>
      </c>
      <c r="C257" s="205" t="s">
        <v>353</v>
      </c>
      <c r="D257" s="205"/>
    </row>
    <row r="258" spans="1:4" x14ac:dyDescent="0.3">
      <c r="A258" t="s">
        <v>473</v>
      </c>
      <c r="B258" s="205" t="s">
        <v>357</v>
      </c>
      <c r="C258" s="205" t="s">
        <v>356</v>
      </c>
      <c r="D258" s="205"/>
    </row>
    <row r="259" spans="1:4" x14ac:dyDescent="0.3">
      <c r="A259" t="s">
        <v>474</v>
      </c>
      <c r="B259" s="205" t="s">
        <v>360</v>
      </c>
      <c r="C259" s="205" t="s">
        <v>359</v>
      </c>
      <c r="D259" s="205"/>
    </row>
    <row r="260" spans="1:4" x14ac:dyDescent="0.3">
      <c r="A260" t="s">
        <v>475</v>
      </c>
      <c r="B260" s="205" t="s">
        <v>363</v>
      </c>
      <c r="C260" s="205" t="s">
        <v>362</v>
      </c>
      <c r="D260" s="205"/>
    </row>
    <row r="261" spans="1:4" x14ac:dyDescent="0.3">
      <c r="A261" t="s">
        <v>476</v>
      </c>
      <c r="B261" s="205" t="s">
        <v>366</v>
      </c>
      <c r="C261" s="205" t="s">
        <v>365</v>
      </c>
      <c r="D261" s="205"/>
    </row>
    <row r="262" spans="1:4" x14ac:dyDescent="0.3">
      <c r="A262" t="s">
        <v>477</v>
      </c>
      <c r="B262" s="205" t="s">
        <v>369</v>
      </c>
      <c r="C262" s="205" t="s">
        <v>368</v>
      </c>
      <c r="D262" s="205"/>
    </row>
    <row r="263" spans="1:4" x14ac:dyDescent="0.3">
      <c r="A263" t="s">
        <v>478</v>
      </c>
      <c r="B263" s="205" t="s">
        <v>372</v>
      </c>
      <c r="C263" s="205" t="s">
        <v>371</v>
      </c>
      <c r="D263" s="205"/>
    </row>
    <row r="264" spans="1:4" x14ac:dyDescent="0.3">
      <c r="A264" t="s">
        <v>479</v>
      </c>
      <c r="B264" s="205" t="s">
        <v>375</v>
      </c>
      <c r="C264" s="205" t="s">
        <v>374</v>
      </c>
      <c r="D264" s="205"/>
    </row>
    <row r="265" spans="1:4" x14ac:dyDescent="0.3">
      <c r="A265" t="s">
        <v>480</v>
      </c>
      <c r="B265" s="205" t="s">
        <v>378</v>
      </c>
      <c r="C265" s="205" t="s">
        <v>377</v>
      </c>
      <c r="D265" s="205"/>
    </row>
    <row r="266" spans="1:4" x14ac:dyDescent="0.3">
      <c r="A266" t="s">
        <v>481</v>
      </c>
      <c r="B266" s="205" t="s">
        <v>381</v>
      </c>
      <c r="C266" s="205" t="s">
        <v>380</v>
      </c>
      <c r="D266" s="205"/>
    </row>
    <row r="267" spans="1:4" x14ac:dyDescent="0.3">
      <c r="A267" t="s">
        <v>482</v>
      </c>
      <c r="B267" s="205" t="s">
        <v>384</v>
      </c>
      <c r="C267" s="205" t="s">
        <v>383</v>
      </c>
      <c r="D267" s="205"/>
    </row>
    <row r="268" spans="1:4" x14ac:dyDescent="0.3">
      <c r="A268" t="s">
        <v>483</v>
      </c>
      <c r="B268" s="205" t="s">
        <v>387</v>
      </c>
      <c r="C268" s="205" t="s">
        <v>386</v>
      </c>
      <c r="D268" s="205"/>
    </row>
    <row r="269" spans="1:4" x14ac:dyDescent="0.3">
      <c r="A269" t="s">
        <v>484</v>
      </c>
      <c r="B269" s="205" t="s">
        <v>390</v>
      </c>
      <c r="C269" s="205" t="s">
        <v>389</v>
      </c>
      <c r="D269" s="205"/>
    </row>
    <row r="270" spans="1:4" x14ac:dyDescent="0.3">
      <c r="A270" t="s">
        <v>485</v>
      </c>
      <c r="B270" s="205" t="s">
        <v>393</v>
      </c>
      <c r="C270" s="205" t="s">
        <v>392</v>
      </c>
      <c r="D270" s="205"/>
    </row>
    <row r="271" spans="1:4" x14ac:dyDescent="0.3">
      <c r="A271" t="s">
        <v>486</v>
      </c>
      <c r="B271" s="205" t="s">
        <v>396</v>
      </c>
      <c r="C271" s="205" t="s">
        <v>395</v>
      </c>
      <c r="D271" s="205"/>
    </row>
    <row r="272" spans="1:4" x14ac:dyDescent="0.3">
      <c r="A272" t="s">
        <v>487</v>
      </c>
      <c r="B272" s="205" t="s">
        <v>399</v>
      </c>
      <c r="C272" s="205" t="s">
        <v>398</v>
      </c>
      <c r="D272" s="205"/>
    </row>
    <row r="273" spans="1:4" x14ac:dyDescent="0.3">
      <c r="A273" t="s">
        <v>488</v>
      </c>
      <c r="B273" s="205" t="s">
        <v>402</v>
      </c>
      <c r="C273" s="205" t="s">
        <v>401</v>
      </c>
      <c r="D273" s="205"/>
    </row>
    <row r="274" spans="1:4" x14ac:dyDescent="0.3">
      <c r="A274" t="s">
        <v>489</v>
      </c>
      <c r="B274" s="205" t="s">
        <v>405</v>
      </c>
      <c r="C274" s="205" t="s">
        <v>404</v>
      </c>
      <c r="D274" s="205"/>
    </row>
    <row r="275" spans="1:4" x14ac:dyDescent="0.3">
      <c r="A275" t="s">
        <v>490</v>
      </c>
      <c r="B275" s="205" t="s">
        <v>408</v>
      </c>
      <c r="C275" s="205" t="s">
        <v>407</v>
      </c>
      <c r="D275" s="205"/>
    </row>
    <row r="276" spans="1:4" x14ac:dyDescent="0.3">
      <c r="A276" t="s">
        <v>491</v>
      </c>
      <c r="B276" s="205" t="s">
        <v>411</v>
      </c>
      <c r="C276" s="205" t="s">
        <v>410</v>
      </c>
      <c r="D276" s="205"/>
    </row>
    <row r="277" spans="1:4" x14ac:dyDescent="0.3">
      <c r="A277" t="s">
        <v>492</v>
      </c>
      <c r="B277" s="205" t="s">
        <v>414</v>
      </c>
      <c r="C277" s="205" t="s">
        <v>413</v>
      </c>
      <c r="D277" s="205"/>
    </row>
    <row r="278" spans="1:4" x14ac:dyDescent="0.3">
      <c r="A278" t="s">
        <v>493</v>
      </c>
      <c r="B278" s="205" t="s">
        <v>417</v>
      </c>
      <c r="C278" s="205" t="s">
        <v>416</v>
      </c>
      <c r="D278" s="205"/>
    </row>
    <row r="279" spans="1:4" x14ac:dyDescent="0.3">
      <c r="A279" t="s">
        <v>494</v>
      </c>
      <c r="B279" s="205" t="s">
        <v>420</v>
      </c>
      <c r="C279" s="205" t="s">
        <v>419</v>
      </c>
      <c r="D279" s="205"/>
    </row>
    <row r="280" spans="1:4" x14ac:dyDescent="0.3">
      <c r="A280" t="s">
        <v>495</v>
      </c>
      <c r="B280" s="205" t="s">
        <v>423</v>
      </c>
      <c r="C280" s="205" t="s">
        <v>422</v>
      </c>
      <c r="D280" s="205"/>
    </row>
    <row r="281" spans="1:4" x14ac:dyDescent="0.3">
      <c r="A281" t="s">
        <v>496</v>
      </c>
      <c r="B281" s="205" t="s">
        <v>426</v>
      </c>
      <c r="C281" s="205" t="s">
        <v>425</v>
      </c>
      <c r="D281" s="205"/>
    </row>
    <row r="282" spans="1:4" x14ac:dyDescent="0.3">
      <c r="A282" t="s">
        <v>497</v>
      </c>
      <c r="B282" s="205" t="s">
        <v>429</v>
      </c>
      <c r="C282" s="205" t="s">
        <v>428</v>
      </c>
      <c r="D282" s="205"/>
    </row>
    <row r="283" spans="1:4" x14ac:dyDescent="0.3">
      <c r="A283" t="s">
        <v>498</v>
      </c>
      <c r="B283" s="205" t="s">
        <v>432</v>
      </c>
      <c r="C283" s="205" t="s">
        <v>431</v>
      </c>
      <c r="D283" s="205"/>
    </row>
    <row r="284" spans="1:4" x14ac:dyDescent="0.3">
      <c r="A284" t="s">
        <v>499</v>
      </c>
      <c r="B284" s="205" t="s">
        <v>435</v>
      </c>
      <c r="C284" s="205" t="s">
        <v>434</v>
      </c>
      <c r="D284" s="205"/>
    </row>
    <row r="285" spans="1:4" x14ac:dyDescent="0.3">
      <c r="A285" t="s">
        <v>500</v>
      </c>
      <c r="B285" s="205" t="s">
        <v>438</v>
      </c>
      <c r="C285" s="205" t="s">
        <v>437</v>
      </c>
      <c r="D285" s="205"/>
    </row>
    <row r="286" spans="1:4" x14ac:dyDescent="0.3">
      <c r="A286" t="s">
        <v>501</v>
      </c>
      <c r="B286" s="205" t="s">
        <v>441</v>
      </c>
      <c r="C286" s="205" t="s">
        <v>440</v>
      </c>
      <c r="D286" s="205"/>
    </row>
    <row r="287" spans="1:4" x14ac:dyDescent="0.3">
      <c r="A287" t="s">
        <v>502</v>
      </c>
      <c r="B287" s="205" t="s">
        <v>444</v>
      </c>
      <c r="C287" s="205" t="s">
        <v>443</v>
      </c>
      <c r="D287" s="205"/>
    </row>
    <row r="288" spans="1:4" x14ac:dyDescent="0.3">
      <c r="A288" t="s">
        <v>503</v>
      </c>
      <c r="B288" s="205" t="s">
        <v>447</v>
      </c>
      <c r="C288" s="205" t="s">
        <v>446</v>
      </c>
      <c r="D288" s="205"/>
    </row>
    <row r="289" spans="1:4" x14ac:dyDescent="0.3">
      <c r="A289" t="s">
        <v>504</v>
      </c>
      <c r="B289" s="205" t="s">
        <v>450</v>
      </c>
      <c r="C289" s="205" t="s">
        <v>449</v>
      </c>
      <c r="D289" s="205"/>
    </row>
    <row r="290" spans="1:4" x14ac:dyDescent="0.3">
      <c r="A290" t="s">
        <v>505</v>
      </c>
      <c r="B290" s="205" t="s">
        <v>453</v>
      </c>
      <c r="C290" s="205" t="s">
        <v>452</v>
      </c>
      <c r="D290" s="205"/>
    </row>
    <row r="291" spans="1:4" x14ac:dyDescent="0.3">
      <c r="A291" t="s">
        <v>506</v>
      </c>
      <c r="B291" s="205" t="s">
        <v>456</v>
      </c>
      <c r="C291" s="205" t="s">
        <v>455</v>
      </c>
      <c r="D291" s="205"/>
    </row>
    <row r="292" spans="1:4" x14ac:dyDescent="0.3">
      <c r="A292" t="s">
        <v>507</v>
      </c>
      <c r="B292" s="205" t="s">
        <v>459</v>
      </c>
      <c r="C292" s="205" t="s">
        <v>458</v>
      </c>
      <c r="D292" s="205"/>
    </row>
  </sheetData>
  <autoFilter ref="A2:D292" xr:uid="{58695CC0-1F95-4AB3-95F8-306A5DC5BBF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INPUTS</vt:lpstr>
      <vt:lpstr>Final Pool</vt:lpstr>
      <vt:lpstr>Prepool 1</vt:lpstr>
      <vt:lpstr>Prepool 2</vt:lpstr>
      <vt:lpstr>library table with labels</vt:lpstr>
      <vt:lpstr>SubmissionForm</vt:lpstr>
      <vt:lpstr>UDIs</vt:lpstr>
      <vt:lpstr>'Final Pool'!Print_Area</vt:lpstr>
      <vt:lpstr>'Prepool 1'!Print_Area</vt:lpstr>
      <vt:lpstr>'Prepool 2'!Print_Area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 Grenier</dc:creator>
  <cp:keywords/>
  <dc:description/>
  <cp:lastModifiedBy>Paul Robert Munn</cp:lastModifiedBy>
  <cp:revision/>
  <cp:lastPrinted>2025-11-21T14:10:51Z</cp:lastPrinted>
  <dcterms:created xsi:type="dcterms:W3CDTF">2014-06-19T16:06:19Z</dcterms:created>
  <dcterms:modified xsi:type="dcterms:W3CDTF">2025-12-11T20:37:51Z</dcterms:modified>
  <cp:category/>
  <cp:contentStatus/>
</cp:coreProperties>
</file>